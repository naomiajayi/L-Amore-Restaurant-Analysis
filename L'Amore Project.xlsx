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autoCompressPictures="0"/>
  <mc:AlternateContent xmlns:mc="http://schemas.openxmlformats.org/markup-compatibility/2006">
    <mc:Choice Requires="x15">
      <x15ac:absPath xmlns:x15ac="http://schemas.microsoft.com/office/spreadsheetml/2010/11/ac" url="/Users/rachelajayi/Downloads/"/>
    </mc:Choice>
  </mc:AlternateContent>
  <xr:revisionPtr revIDLastSave="0" documentId="8_{4C6D4B7E-A87E-2242-9140-C9007D34AAE6}" xr6:coauthVersionLast="47" xr6:coauthVersionMax="47" xr10:uidLastSave="{00000000-0000-0000-0000-000000000000}"/>
  <bookViews>
    <workbookView xWindow="0" yWindow="500" windowWidth="14360" windowHeight="16080" tabRatio="919" firstSheet="1" activeTab="13" xr2:uid="{00000000-000D-0000-FFFF-FFFF00000000}"/>
  </bookViews>
  <sheets>
    <sheet name="Summary" sheetId="16" r:id="rId1"/>
    <sheet name="Table of Contents" sheetId="13" r:id="rId2"/>
    <sheet name="Menu Mix" sheetId="3" r:id="rId3"/>
    <sheet name="Hourly Customer" sheetId="2" r:id="rId4"/>
    <sheet name="Hourly Labor" sheetId="4" state="hidden" r:id="rId5"/>
    <sheet name="Salaries" sheetId="5" r:id="rId6"/>
    <sheet name="Preopening" sheetId="8" r:id="rId7"/>
    <sheet name="Income Statement" sheetId="15" r:id="rId8"/>
    <sheet name="Monthly IS" sheetId="6" r:id="rId9"/>
    <sheet name="10 year IS" sheetId="7" r:id="rId10"/>
    <sheet name="Loan Amortization" sheetId="10" r:id="rId11"/>
    <sheet name="Cash Budget" sheetId="9" state="hidden" r:id="rId12"/>
    <sheet name="Cash Flow Projection" sheetId="11" r:id="rId13"/>
    <sheet name="Valuation" sheetId="12" r:id="rId14"/>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52" i="8" l="1"/>
  <c r="C53" i="8"/>
  <c r="C54" i="8"/>
  <c r="C50" i="8"/>
  <c r="C51" i="8"/>
  <c r="C21" i="15"/>
  <c r="D50" i="8"/>
  <c r="C48" i="8" l="1"/>
  <c r="N6" i="2"/>
  <c r="D4" i="5"/>
  <c r="E4" i="5"/>
  <c r="F4" i="5"/>
  <c r="E3" i="5"/>
  <c r="B14" i="5"/>
  <c r="T6" i="2"/>
  <c r="T7" i="2"/>
  <c r="T8" i="2"/>
  <c r="B15" i="5"/>
  <c r="B17" i="5"/>
  <c r="T5" i="2"/>
  <c r="B12" i="5"/>
  <c r="J17" i="2"/>
  <c r="G18" i="2"/>
  <c r="C18" i="2"/>
  <c r="F18" i="2"/>
  <c r="J15" i="2"/>
  <c r="H23" i="3"/>
  <c r="G23" i="3"/>
  <c r="E23" i="3"/>
  <c r="E29" i="3"/>
  <c r="G29" i="3"/>
  <c r="H29" i="3"/>
  <c r="H26" i="3"/>
  <c r="G26" i="3"/>
  <c r="E26" i="3"/>
  <c r="H25" i="3"/>
  <c r="G25" i="3"/>
  <c r="E25" i="3"/>
  <c r="H24" i="3"/>
  <c r="G24" i="3"/>
  <c r="E24" i="3"/>
  <c r="H22" i="3"/>
  <c r="G22" i="3"/>
  <c r="E22" i="3"/>
  <c r="H21" i="3"/>
  <c r="G21" i="3"/>
  <c r="E21" i="3"/>
  <c r="H20" i="3"/>
  <c r="G20" i="3"/>
  <c r="E20" i="3"/>
  <c r="H19" i="3"/>
  <c r="G19" i="3"/>
  <c r="E19" i="3"/>
  <c r="H18" i="3"/>
  <c r="G18" i="3"/>
  <c r="E18" i="3"/>
  <c r="H17" i="3"/>
  <c r="G17" i="3"/>
  <c r="E17" i="3"/>
  <c r="H16" i="3"/>
  <c r="G16" i="3"/>
  <c r="E16" i="3"/>
  <c r="E8" i="3"/>
  <c r="H5" i="3"/>
  <c r="H6" i="3"/>
  <c r="H7" i="3"/>
  <c r="H8" i="3"/>
  <c r="H9" i="3"/>
  <c r="H4" i="3"/>
  <c r="G5" i="3"/>
  <c r="G6" i="3"/>
  <c r="G7" i="3"/>
  <c r="G8" i="3"/>
  <c r="G9" i="3"/>
  <c r="G4" i="3"/>
  <c r="D18" i="2"/>
  <c r="O5" i="2"/>
  <c r="E18" i="2"/>
  <c r="H18" i="2"/>
  <c r="I18" i="2"/>
  <c r="B13" i="5"/>
  <c r="B16" i="5"/>
  <c r="A2" i="3"/>
  <c r="A1" i="2"/>
  <c r="C3" i="2"/>
  <c r="C2" i="15"/>
  <c r="N4" i="12"/>
  <c r="F19" i="12"/>
  <c r="F18" i="12"/>
  <c r="F17" i="12"/>
  <c r="F16" i="12"/>
  <c r="F15" i="12"/>
  <c r="B11" i="12"/>
  <c r="B12" i="12"/>
  <c r="B13" i="12"/>
  <c r="B14" i="12"/>
  <c r="B15" i="12"/>
  <c r="B16" i="12"/>
  <c r="B17" i="12"/>
  <c r="B18" i="12"/>
  <c r="B19" i="12"/>
  <c r="A11" i="12"/>
  <c r="A12" i="12"/>
  <c r="A13" i="12"/>
  <c r="A14" i="12"/>
  <c r="A15" i="12"/>
  <c r="A16" i="12"/>
  <c r="A17" i="12"/>
  <c r="A18" i="12"/>
  <c r="A19" i="12"/>
  <c r="G15" i="11"/>
  <c r="H15" i="11"/>
  <c r="I15" i="11"/>
  <c r="J15" i="11"/>
  <c r="K15" i="11"/>
  <c r="D1" i="11"/>
  <c r="E1" i="11"/>
  <c r="F1" i="11"/>
  <c r="G1" i="11"/>
  <c r="H1" i="11"/>
  <c r="I1" i="11"/>
  <c r="J1" i="11"/>
  <c r="K1" i="11"/>
  <c r="C1" i="11"/>
  <c r="C62" i="15"/>
  <c r="C16" i="6" s="1"/>
  <c r="C56" i="15"/>
  <c r="F12" i="6"/>
  <c r="C40" i="15"/>
  <c r="G10" i="6"/>
  <c r="C34" i="15"/>
  <c r="I9" i="6"/>
  <c r="D39" i="8"/>
  <c r="C6" i="8" s="1"/>
  <c r="D36" i="8"/>
  <c r="C5" i="8" s="1"/>
  <c r="D14" i="8"/>
  <c r="C4" i="8" s="1"/>
  <c r="C10" i="5"/>
  <c r="F3" i="5"/>
  <c r="D3" i="5"/>
  <c r="I12" i="6"/>
  <c r="L12" i="6"/>
  <c r="D12" i="6"/>
  <c r="N12" i="6"/>
  <c r="M12" i="6"/>
  <c r="K12" i="6"/>
  <c r="C12" i="6"/>
  <c r="J12" i="6"/>
  <c r="E12" i="6"/>
  <c r="H12" i="6"/>
  <c r="B12" i="6"/>
  <c r="G12" i="6"/>
  <c r="J10" i="6"/>
  <c r="I10" i="6"/>
  <c r="H10" i="6"/>
  <c r="E10" i="6"/>
  <c r="B10" i="6"/>
  <c r="N10" i="6"/>
  <c r="F10" i="6"/>
  <c r="M10" i="6"/>
  <c r="L10" i="6"/>
  <c r="D10" i="6"/>
  <c r="K10" i="6"/>
  <c r="C10" i="6"/>
  <c r="K9" i="6"/>
  <c r="H9" i="6"/>
  <c r="G9" i="6"/>
  <c r="N9" i="6"/>
  <c r="F9" i="6"/>
  <c r="E9" i="6"/>
  <c r="J9" i="6"/>
  <c r="M9" i="6"/>
  <c r="L9" i="6"/>
  <c r="D9" i="6"/>
  <c r="C9" i="6"/>
  <c r="B9" i="6"/>
  <c r="D10" i="5"/>
  <c r="F10" i="5"/>
  <c r="E10" i="5"/>
  <c r="C11" i="15"/>
  <c r="O10" i="6"/>
  <c r="C10" i="7"/>
  <c r="O9" i="6"/>
  <c r="J9" i="7"/>
  <c r="C9" i="7"/>
  <c r="D9" i="7"/>
  <c r="E9" i="7"/>
  <c r="F9" i="7"/>
  <c r="B9" i="7"/>
  <c r="G9" i="7"/>
  <c r="H9" i="7"/>
  <c r="K9" i="7"/>
  <c r="I9" i="7"/>
  <c r="E10" i="7"/>
  <c r="B10" i="7"/>
  <c r="H10" i="7"/>
  <c r="G10" i="7"/>
  <c r="D10" i="7"/>
  <c r="F10" i="7"/>
  <c r="J10" i="7"/>
  <c r="K10" i="7"/>
  <c r="I10" i="7"/>
  <c r="H30" i="3"/>
  <c r="H31" i="3"/>
  <c r="H32" i="3"/>
  <c r="H33" i="3"/>
  <c r="G30" i="3"/>
  <c r="G31" i="3"/>
  <c r="G32" i="3"/>
  <c r="G33" i="3"/>
  <c r="E30" i="3"/>
  <c r="E31" i="3"/>
  <c r="E32" i="3"/>
  <c r="E33" i="3"/>
  <c r="H13" i="3"/>
  <c r="H14" i="3"/>
  <c r="H15" i="3"/>
  <c r="G13" i="3"/>
  <c r="G14" i="3"/>
  <c r="G15" i="3"/>
  <c r="E13" i="3"/>
  <c r="E14" i="3"/>
  <c r="E15" i="3"/>
  <c r="C18" i="4"/>
  <c r="D18" i="4"/>
  <c r="E18" i="4"/>
  <c r="F18" i="4"/>
  <c r="G18" i="4"/>
  <c r="H18" i="4"/>
  <c r="I18" i="4"/>
  <c r="C26" i="4"/>
  <c r="D26" i="4"/>
  <c r="E26" i="4"/>
  <c r="F26" i="4"/>
  <c r="G26" i="4"/>
  <c r="H26" i="4"/>
  <c r="I26" i="4"/>
  <c r="E26" i="2"/>
  <c r="G26" i="2"/>
  <c r="I26" i="2"/>
  <c r="C11" i="10"/>
  <c r="C7" i="10"/>
  <c r="C8" i="10"/>
  <c r="C9" i="10"/>
  <c r="C10" i="10"/>
  <c r="C12" i="10"/>
  <c r="C13" i="10"/>
  <c r="C14" i="10"/>
  <c r="C15" i="10"/>
  <c r="C16" i="10"/>
  <c r="F29" i="9"/>
  <c r="BI29" i="9"/>
  <c r="BD29" i="9"/>
  <c r="AY29" i="9"/>
  <c r="AT29" i="9"/>
  <c r="AO29" i="9"/>
  <c r="AJ29" i="9"/>
  <c r="AE29" i="9"/>
  <c r="Z29" i="9"/>
  <c r="U29" i="9"/>
  <c r="P29" i="9"/>
  <c r="K29" i="9"/>
  <c r="A7" i="10"/>
  <c r="A8" i="10"/>
  <c r="A9" i="10"/>
  <c r="A10" i="10"/>
  <c r="A11" i="10"/>
  <c r="A12" i="10"/>
  <c r="A13" i="10"/>
  <c r="A14" i="10"/>
  <c r="A15" i="10"/>
  <c r="A16" i="10"/>
  <c r="J25" i="4"/>
  <c r="J24" i="4"/>
  <c r="J23" i="4"/>
  <c r="J22" i="4"/>
  <c r="J21" i="4"/>
  <c r="J17" i="4"/>
  <c r="J16" i="4"/>
  <c r="J15" i="4"/>
  <c r="J14" i="4"/>
  <c r="J13" i="4"/>
  <c r="J12" i="4"/>
  <c r="J11" i="4"/>
  <c r="J10" i="4"/>
  <c r="J9" i="4"/>
  <c r="J8" i="4"/>
  <c r="J7" i="4"/>
  <c r="J6" i="4"/>
  <c r="J5" i="4"/>
  <c r="J4" i="4"/>
  <c r="H34" i="3"/>
  <c r="H37" i="3"/>
  <c r="H12" i="3"/>
  <c r="H27" i="3"/>
  <c r="H36" i="3"/>
  <c r="G12" i="3"/>
  <c r="E12" i="3"/>
  <c r="E9" i="3"/>
  <c r="E7" i="3"/>
  <c r="E6" i="3"/>
  <c r="E5" i="3"/>
  <c r="E4" i="3"/>
  <c r="J16" i="2"/>
  <c r="J14" i="2"/>
  <c r="J13" i="2"/>
  <c r="J12" i="2"/>
  <c r="J11" i="2"/>
  <c r="J10" i="2"/>
  <c r="J9" i="2"/>
  <c r="J8" i="2"/>
  <c r="J7" i="2"/>
  <c r="J6" i="2"/>
  <c r="J5" i="2"/>
  <c r="O4" i="2"/>
  <c r="O3" i="2"/>
  <c r="D19" i="2"/>
  <c r="D27" i="2"/>
  <c r="H19" i="2"/>
  <c r="H27" i="2"/>
  <c r="R4" i="2"/>
  <c r="R3" i="2"/>
  <c r="G19" i="2"/>
  <c r="G27" i="2"/>
  <c r="Q4" i="2"/>
  <c r="Q3" i="2"/>
  <c r="F19" i="2"/>
  <c r="F27" i="2"/>
  <c r="P4" i="2"/>
  <c r="P3" i="2"/>
  <c r="E19" i="2"/>
  <c r="E27" i="2"/>
  <c r="C26" i="2"/>
  <c r="C19" i="2"/>
  <c r="C27" i="2"/>
  <c r="T3" i="2"/>
  <c r="T4" i="2"/>
  <c r="I19" i="2"/>
  <c r="I27" i="2"/>
  <c r="F26" i="2"/>
  <c r="H10" i="3"/>
  <c r="J26" i="4"/>
  <c r="G27" i="3"/>
  <c r="G36" i="3"/>
  <c r="J18" i="4"/>
  <c r="H26" i="2"/>
  <c r="D26" i="2"/>
  <c r="J18" i="2"/>
  <c r="J19" i="2"/>
  <c r="J27" i="2"/>
  <c r="G34" i="3"/>
  <c r="G37" i="3"/>
  <c r="G10" i="3"/>
  <c r="G35" i="3"/>
  <c r="K26" i="9"/>
  <c r="P26" i="9"/>
  <c r="U26" i="9"/>
  <c r="Z26" i="9"/>
  <c r="AE26" i="9"/>
  <c r="AJ26" i="9"/>
  <c r="AO26" i="9"/>
  <c r="AT26" i="9"/>
  <c r="AY26" i="9"/>
  <c r="BD26" i="9"/>
  <c r="BI26" i="9"/>
  <c r="K18" i="9"/>
  <c r="P18" i="9"/>
  <c r="U18" i="9"/>
  <c r="Z18" i="9"/>
  <c r="AE18" i="9"/>
  <c r="AJ18" i="9"/>
  <c r="AO18" i="9"/>
  <c r="AT18" i="9"/>
  <c r="AY18" i="9"/>
  <c r="BD18" i="9"/>
  <c r="BI18" i="9"/>
  <c r="K15" i="9"/>
  <c r="P15" i="9"/>
  <c r="U15" i="9"/>
  <c r="Z15" i="9"/>
  <c r="AE15" i="9"/>
  <c r="AJ15" i="9"/>
  <c r="AO15" i="9"/>
  <c r="AT15" i="9"/>
  <c r="AY15" i="9"/>
  <c r="BD15" i="9"/>
  <c r="BI15" i="9"/>
  <c r="H35" i="3"/>
  <c r="H38" i="3"/>
  <c r="D21" i="2"/>
  <c r="D23" i="2"/>
  <c r="E21" i="2"/>
  <c r="E23" i="2"/>
  <c r="C21" i="2"/>
  <c r="C23" i="2"/>
  <c r="F21" i="2"/>
  <c r="F23" i="2"/>
  <c r="G21" i="2"/>
  <c r="G23" i="2"/>
  <c r="H21" i="2"/>
  <c r="H23" i="2"/>
  <c r="I21" i="2"/>
  <c r="I23" i="2"/>
  <c r="J26" i="2"/>
  <c r="G38" i="3"/>
  <c r="G40" i="3"/>
  <c r="F15" i="9"/>
  <c r="F26" i="9"/>
  <c r="F18" i="9"/>
  <c r="J23" i="2"/>
  <c r="J21" i="2"/>
  <c r="E20" i="2"/>
  <c r="E22" i="2"/>
  <c r="E25" i="2"/>
  <c r="I20" i="2"/>
  <c r="I22" i="2"/>
  <c r="I25" i="2"/>
  <c r="F20" i="2"/>
  <c r="F22" i="2"/>
  <c r="F25" i="2"/>
  <c r="G20" i="2"/>
  <c r="G22" i="2"/>
  <c r="G25" i="2"/>
  <c r="C20" i="2"/>
  <c r="C22" i="2"/>
  <c r="D20" i="2"/>
  <c r="D22" i="2"/>
  <c r="D25" i="2"/>
  <c r="H20" i="2"/>
  <c r="H22" i="2"/>
  <c r="H25" i="2"/>
  <c r="H4" i="6"/>
  <c r="L4" i="6"/>
  <c r="F4" i="6"/>
  <c r="I4" i="6"/>
  <c r="D8" i="15"/>
  <c r="E4" i="6"/>
  <c r="G4" i="6"/>
  <c r="J4" i="6"/>
  <c r="D4" i="6"/>
  <c r="C4" i="6"/>
  <c r="K4" i="6"/>
  <c r="B4" i="6"/>
  <c r="N4" i="6"/>
  <c r="M4" i="6"/>
  <c r="C25" i="2"/>
  <c r="J22" i="2"/>
  <c r="J20" i="2"/>
  <c r="D3" i="6"/>
  <c r="L3" i="6"/>
  <c r="I3" i="6"/>
  <c r="E3" i="6"/>
  <c r="M3" i="6"/>
  <c r="F3" i="6"/>
  <c r="N3" i="6"/>
  <c r="D6" i="15"/>
  <c r="D4" i="12"/>
  <c r="J3" i="6"/>
  <c r="C3" i="6"/>
  <c r="G3" i="6"/>
  <c r="B3" i="6"/>
  <c r="H3" i="6"/>
  <c r="K3" i="6"/>
  <c r="O4" i="6"/>
  <c r="AE5" i="9"/>
  <c r="AO5" i="9"/>
  <c r="BI5" i="9"/>
  <c r="K5" i="9"/>
  <c r="AY5" i="9"/>
  <c r="AJ5" i="9"/>
  <c r="BD5" i="9"/>
  <c r="AT5" i="9"/>
  <c r="P5" i="9"/>
  <c r="U5" i="9"/>
  <c r="Z5" i="9"/>
  <c r="E15" i="9"/>
  <c r="E19" i="9"/>
  <c r="E17" i="9"/>
  <c r="E28" i="9"/>
  <c r="BH27" i="9"/>
  <c r="AS12" i="9"/>
  <c r="AI14" i="9"/>
  <c r="Y19" i="9"/>
  <c r="O24" i="9"/>
  <c r="BH28" i="9"/>
  <c r="AS5" i="9"/>
  <c r="AI7" i="9"/>
  <c r="Y12" i="9"/>
  <c r="O17" i="9"/>
  <c r="BH13" i="9"/>
  <c r="AX14" i="9"/>
  <c r="AN15" i="9"/>
  <c r="AD18" i="9"/>
  <c r="T23" i="9"/>
  <c r="J5" i="9"/>
  <c r="BC6" i="9"/>
  <c r="AS7" i="9"/>
  <c r="AI9" i="9"/>
  <c r="Y14" i="9"/>
  <c r="O19" i="9"/>
  <c r="BH7" i="9"/>
  <c r="AX8" i="9"/>
  <c r="AN9" i="9"/>
  <c r="AD12" i="9"/>
  <c r="T17" i="9"/>
  <c r="J7" i="9"/>
  <c r="BC8" i="9"/>
  <c r="AS9" i="9"/>
  <c r="AI11" i="9"/>
  <c r="Y16" i="9"/>
  <c r="O21" i="9"/>
  <c r="BH17" i="9"/>
  <c r="AX18" i="9"/>
  <c r="AN19" i="9"/>
  <c r="AD22" i="9"/>
  <c r="T27" i="9"/>
  <c r="Y10" i="9"/>
  <c r="AS11" i="9"/>
  <c r="BC18" i="9"/>
  <c r="J25" i="9"/>
  <c r="AD31" i="9"/>
  <c r="BH26" i="9"/>
  <c r="AX19" i="9"/>
  <c r="E29" i="9"/>
  <c r="E6" i="9"/>
  <c r="E24" i="9"/>
  <c r="E11" i="9"/>
  <c r="BH35" i="9"/>
  <c r="AS20" i="9"/>
  <c r="AI22" i="9"/>
  <c r="Y27" i="9"/>
  <c r="O32" i="9"/>
  <c r="BC12" i="9"/>
  <c r="AS13" i="9"/>
  <c r="AI15" i="9"/>
  <c r="Y20" i="9"/>
  <c r="O25" i="9"/>
  <c r="BH21" i="9"/>
  <c r="AX22" i="9"/>
  <c r="AN23" i="9"/>
  <c r="AD26" i="9"/>
  <c r="T31" i="9"/>
  <c r="J13" i="9"/>
  <c r="BC14" i="9"/>
  <c r="AS15" i="9"/>
  <c r="AI17" i="9"/>
  <c r="Y22" i="9"/>
  <c r="O27" i="9"/>
  <c r="BH15" i="9"/>
  <c r="AX16" i="9"/>
  <c r="AN17" i="9"/>
  <c r="AD20" i="9"/>
  <c r="T25" i="9"/>
  <c r="J15" i="9"/>
  <c r="BC16" i="9"/>
  <c r="AS17" i="9"/>
  <c r="AI19" i="9"/>
  <c r="Y24" i="9"/>
  <c r="O29" i="9"/>
  <c r="BH25" i="9"/>
  <c r="AX26" i="9"/>
  <c r="AN27" i="9"/>
  <c r="AD30" i="9"/>
  <c r="O6" i="9"/>
  <c r="O15" i="9"/>
  <c r="AI13" i="9"/>
  <c r="AS19" i="9"/>
  <c r="BC26" i="9"/>
  <c r="AX27" i="9"/>
  <c r="E32" i="9"/>
  <c r="J9" i="9"/>
  <c r="T28" i="9"/>
  <c r="E9" i="9"/>
  <c r="E13" i="9"/>
  <c r="E31" i="9"/>
  <c r="E35" i="9"/>
  <c r="BC11" i="9"/>
  <c r="AS28" i="9"/>
  <c r="AI30" i="9"/>
  <c r="Y35" i="9"/>
  <c r="Y5" i="9"/>
  <c r="BC20" i="9"/>
  <c r="AS21" i="9"/>
  <c r="AI23" i="9"/>
  <c r="Y28" i="9"/>
  <c r="O33" i="9"/>
  <c r="BH29" i="9"/>
  <c r="AX30" i="9"/>
  <c r="AN31" i="9"/>
  <c r="AD34" i="9"/>
  <c r="O10" i="9"/>
  <c r="J21" i="9"/>
  <c r="BC22" i="9"/>
  <c r="AS23" i="9"/>
  <c r="AI25" i="9"/>
  <c r="Y30" i="9"/>
  <c r="O35" i="9"/>
  <c r="BH23" i="9"/>
  <c r="AX24" i="9"/>
  <c r="AN25" i="9"/>
  <c r="AD28" i="9"/>
  <c r="T33" i="9"/>
  <c r="J23" i="9"/>
  <c r="BC24" i="9"/>
  <c r="AS25" i="9"/>
  <c r="AI27" i="9"/>
  <c r="Y32" i="9"/>
  <c r="BH33" i="9"/>
  <c r="AX34" i="9"/>
  <c r="AN35" i="9"/>
  <c r="Y9" i="9"/>
  <c r="O14" i="9"/>
  <c r="Y18" i="9"/>
  <c r="AI21" i="9"/>
  <c r="AS27" i="9"/>
  <c r="BC34" i="9"/>
  <c r="BH10" i="9"/>
  <c r="BH18" i="9"/>
  <c r="AD7" i="9"/>
  <c r="E5" i="9"/>
  <c r="E16" i="9"/>
  <c r="E20" i="9"/>
  <c r="E34" i="9"/>
  <c r="J10" i="9"/>
  <c r="BC19" i="9"/>
  <c r="AN5" i="9"/>
  <c r="AD8" i="9"/>
  <c r="T13" i="9"/>
  <c r="J11" i="9"/>
  <c r="BC28" i="9"/>
  <c r="AS29" i="9"/>
  <c r="AI31" i="9"/>
  <c r="T6" i="9"/>
  <c r="E18" i="9"/>
  <c r="BC5" i="9"/>
  <c r="AS6" i="9"/>
  <c r="AI8" i="9"/>
  <c r="Y13" i="9"/>
  <c r="O18" i="9"/>
  <c r="J29" i="9"/>
  <c r="BC30" i="9"/>
  <c r="AS31" i="9"/>
  <c r="AI33" i="9"/>
  <c r="T8" i="9"/>
  <c r="E25" i="9"/>
  <c r="BH31" i="9"/>
  <c r="AX32" i="9"/>
  <c r="AN33" i="9"/>
  <c r="Y7" i="9"/>
  <c r="O12" i="9"/>
  <c r="J31" i="9"/>
  <c r="BC32" i="9"/>
  <c r="AS33" i="9"/>
  <c r="AI35" i="9"/>
  <c r="T10" i="9"/>
  <c r="J8" i="9"/>
  <c r="BC9" i="9"/>
  <c r="AS10" i="9"/>
  <c r="AI12" i="9"/>
  <c r="Y17" i="9"/>
  <c r="O22" i="9"/>
  <c r="O23" i="9"/>
  <c r="Y26" i="9"/>
  <c r="AI29" i="9"/>
  <c r="AX11" i="9"/>
  <c r="E12" i="9"/>
  <c r="E23" i="9"/>
  <c r="E27" i="9"/>
  <c r="J18" i="9"/>
  <c r="BC27" i="9"/>
  <c r="AN13" i="9"/>
  <c r="AD16" i="9"/>
  <c r="T21" i="9"/>
  <c r="J19" i="9"/>
  <c r="AX5" i="9"/>
  <c r="AN6" i="9"/>
  <c r="AD9" i="9"/>
  <c r="T14" i="9"/>
  <c r="J12" i="9"/>
  <c r="BC13" i="9"/>
  <c r="AS14" i="9"/>
  <c r="AI16" i="9"/>
  <c r="Y21" i="9"/>
  <c r="O26" i="9"/>
  <c r="BH6" i="9"/>
  <c r="AX7" i="9"/>
  <c r="AN8" i="9"/>
  <c r="AD11" i="9"/>
  <c r="T16" i="9"/>
  <c r="J6" i="9"/>
  <c r="BC7" i="9"/>
  <c r="AS8" i="9"/>
  <c r="AI10" i="9"/>
  <c r="Y15" i="9"/>
  <c r="O20" i="9"/>
  <c r="BH8" i="9"/>
  <c r="AX9" i="9"/>
  <c r="AN10" i="9"/>
  <c r="AD13" i="9"/>
  <c r="T18" i="9"/>
  <c r="J16" i="9"/>
  <c r="BC17" i="9"/>
  <c r="AS18" i="9"/>
  <c r="AI20" i="9"/>
  <c r="Y25" i="9"/>
  <c r="O30" i="9"/>
  <c r="O31" i="9"/>
  <c r="Y34" i="9"/>
  <c r="T12" i="9"/>
  <c r="AN12" i="9"/>
  <c r="AN20" i="9"/>
  <c r="E22" i="9"/>
  <c r="E30" i="9"/>
  <c r="J26" i="9"/>
  <c r="AX12" i="9"/>
  <c r="AN21" i="9"/>
  <c r="AD24" i="9"/>
  <c r="T29" i="9"/>
  <c r="J27" i="9"/>
  <c r="AX13" i="9"/>
  <c r="AN14" i="9"/>
  <c r="AD17" i="9"/>
  <c r="T22" i="9"/>
  <c r="J20" i="9"/>
  <c r="BC21" i="9"/>
  <c r="AS22" i="9"/>
  <c r="AI24" i="9"/>
  <c r="Y29" i="9"/>
  <c r="O34" i="9"/>
  <c r="BH14" i="9"/>
  <c r="AX15" i="9"/>
  <c r="AN16" i="9"/>
  <c r="AD19" i="9"/>
  <c r="T24" i="9"/>
  <c r="J14" i="9"/>
  <c r="BC15" i="9"/>
  <c r="AS16" i="9"/>
  <c r="AI18" i="9"/>
  <c r="Y23" i="9"/>
  <c r="O28" i="9"/>
  <c r="BH16" i="9"/>
  <c r="AX17" i="9"/>
  <c r="AN18" i="9"/>
  <c r="AD21" i="9"/>
  <c r="T26" i="9"/>
  <c r="J24" i="9"/>
  <c r="BC25" i="9"/>
  <c r="AS26" i="9"/>
  <c r="AI28" i="9"/>
  <c r="Y33" i="9"/>
  <c r="AD5" i="9"/>
  <c r="AN28" i="9"/>
  <c r="AD15" i="9"/>
  <c r="AD23" i="9"/>
  <c r="AS34" i="9"/>
  <c r="E26" i="9"/>
  <c r="E33" i="9"/>
  <c r="E7" i="9"/>
  <c r="BH11" i="9"/>
  <c r="AX20" i="9"/>
  <c r="AN29" i="9"/>
  <c r="AD32" i="9"/>
  <c r="O8" i="9"/>
  <c r="BH12" i="9"/>
  <c r="AX21" i="9"/>
  <c r="AN22" i="9"/>
  <c r="AD25" i="9"/>
  <c r="T30" i="9"/>
  <c r="J28" i="9"/>
  <c r="BC29" i="9"/>
  <c r="AS30" i="9"/>
  <c r="AI32" i="9"/>
  <c r="T7" i="9"/>
  <c r="T5" i="9"/>
  <c r="BH22" i="9"/>
  <c r="AX23" i="9"/>
  <c r="AN24" i="9"/>
  <c r="AD27" i="9"/>
  <c r="T32" i="9"/>
  <c r="J22" i="9"/>
  <c r="BC23" i="9"/>
  <c r="AS24" i="9"/>
  <c r="AI26" i="9"/>
  <c r="Y31" i="9"/>
  <c r="AI5" i="9"/>
  <c r="BH24" i="9"/>
  <c r="AX25" i="9"/>
  <c r="AN26" i="9"/>
  <c r="AD29" i="9"/>
  <c r="T34" i="9"/>
  <c r="J32" i="9"/>
  <c r="BC33" i="9"/>
  <c r="AD6" i="9"/>
  <c r="T11" i="9"/>
  <c r="BH34" i="9"/>
  <c r="T20" i="9"/>
  <c r="E8" i="9"/>
  <c r="E10" i="9"/>
  <c r="E14" i="9"/>
  <c r="BH19" i="9"/>
  <c r="AX28" i="9"/>
  <c r="AI6" i="9"/>
  <c r="Y11" i="9"/>
  <c r="O16" i="9"/>
  <c r="BH20" i="9"/>
  <c r="AX29" i="9"/>
  <c r="AN30" i="9"/>
  <c r="AD33" i="9"/>
  <c r="O9" i="9"/>
  <c r="BH5" i="9"/>
  <c r="AX6" i="9"/>
  <c r="AN7" i="9"/>
  <c r="AD10" i="9"/>
  <c r="T15" i="9"/>
  <c r="E21" i="9"/>
  <c r="BH30" i="9"/>
  <c r="AX31" i="9"/>
  <c r="AN32" i="9"/>
  <c r="Y6" i="9"/>
  <c r="O11" i="9"/>
  <c r="J30" i="9"/>
  <c r="BC31" i="9"/>
  <c r="AS32" i="9"/>
  <c r="AI34" i="9"/>
  <c r="T9" i="9"/>
  <c r="O5" i="9"/>
  <c r="BH32" i="9"/>
  <c r="AX33" i="9"/>
  <c r="AN34" i="9"/>
  <c r="Y8" i="9"/>
  <c r="O13" i="9"/>
  <c r="BH9" i="9"/>
  <c r="AX10" i="9"/>
  <c r="AN11" i="9"/>
  <c r="AD14" i="9"/>
  <c r="T19" i="9"/>
  <c r="AX35" i="9"/>
  <c r="BC10" i="9"/>
  <c r="J17" i="9"/>
  <c r="O7" i="9"/>
  <c r="J25" i="2"/>
  <c r="I4" i="7"/>
  <c r="J4" i="7"/>
  <c r="F4" i="7"/>
  <c r="H4" i="7"/>
  <c r="G4" i="7"/>
  <c r="E4" i="7"/>
  <c r="B4" i="7"/>
  <c r="K4" i="7"/>
  <c r="E52" i="15"/>
  <c r="E37" i="15"/>
  <c r="E25" i="15"/>
  <c r="E27" i="15"/>
  <c r="E44" i="15"/>
  <c r="E55" i="15"/>
  <c r="E28" i="15"/>
  <c r="E32" i="15"/>
  <c r="E46" i="15"/>
  <c r="E22" i="15"/>
  <c r="C43" i="15"/>
  <c r="E50" i="15"/>
  <c r="E39" i="15"/>
  <c r="E23" i="15"/>
  <c r="E64" i="15"/>
  <c r="E53" i="15"/>
  <c r="E33" i="15"/>
  <c r="E26" i="15"/>
  <c r="E62" i="15"/>
  <c r="E54" i="15"/>
  <c r="E34" i="15"/>
  <c r="E45" i="15"/>
  <c r="E56" i="15"/>
  <c r="E51" i="15"/>
  <c r="E40" i="15"/>
  <c r="E24" i="15"/>
  <c r="E38" i="15"/>
  <c r="E11" i="15"/>
  <c r="E8" i="15"/>
  <c r="O3" i="6"/>
  <c r="E21" i="15"/>
  <c r="O36" i="9"/>
  <c r="BH36" i="9"/>
  <c r="F5" i="9"/>
  <c r="G5" i="9"/>
  <c r="G6" i="9"/>
  <c r="G7" i="9"/>
  <c r="G8" i="9"/>
  <c r="AI36" i="9"/>
  <c r="AD36" i="9"/>
  <c r="AN36" i="9"/>
  <c r="J36" i="9"/>
  <c r="Y36" i="9"/>
  <c r="AS36" i="9"/>
  <c r="E36" i="9"/>
  <c r="BC36" i="9"/>
  <c r="T36" i="9"/>
  <c r="AX36" i="9"/>
  <c r="C4" i="7"/>
  <c r="D4" i="7"/>
  <c r="E43" i="15"/>
  <c r="C47" i="15"/>
  <c r="J3" i="7"/>
  <c r="J5" i="11"/>
  <c r="H3" i="7"/>
  <c r="F3" i="7"/>
  <c r="E3" i="7"/>
  <c r="G3" i="7"/>
  <c r="I3" i="7"/>
  <c r="K3" i="7"/>
  <c r="C29" i="15"/>
  <c r="E29" i="15"/>
  <c r="AO9" i="9"/>
  <c r="Z9" i="9"/>
  <c r="AJ9" i="9"/>
  <c r="AE9" i="9"/>
  <c r="F9" i="9"/>
  <c r="BI9" i="9"/>
  <c r="U9" i="9"/>
  <c r="BD9" i="9"/>
  <c r="P9" i="9"/>
  <c r="AY9" i="9"/>
  <c r="K9" i="9"/>
  <c r="AT9" i="9"/>
  <c r="E47" i="15"/>
  <c r="C11" i="6"/>
  <c r="H11" i="6"/>
  <c r="L11" i="6"/>
  <c r="G11" i="6"/>
  <c r="D11" i="6"/>
  <c r="I11" i="6"/>
  <c r="F11" i="6"/>
  <c r="B11" i="6"/>
  <c r="N11" i="6"/>
  <c r="M11" i="6"/>
  <c r="J11" i="6"/>
  <c r="E11" i="6"/>
  <c r="K11" i="6"/>
  <c r="H5" i="11"/>
  <c r="B3" i="7"/>
  <c r="E5" i="11"/>
  <c r="C3" i="7"/>
  <c r="D3" i="7"/>
  <c r="F5" i="11"/>
  <c r="C18" i="12"/>
  <c r="H8" i="6"/>
  <c r="I8" i="6"/>
  <c r="B8" i="6"/>
  <c r="D8" i="6"/>
  <c r="J8" i="6"/>
  <c r="E8" i="6"/>
  <c r="C8" i="6"/>
  <c r="K8" i="6"/>
  <c r="L8" i="6"/>
  <c r="F8" i="6"/>
  <c r="M8" i="6"/>
  <c r="N8" i="6"/>
  <c r="G8" i="6"/>
  <c r="D57" i="15"/>
  <c r="K5" i="11"/>
  <c r="C19" i="12"/>
  <c r="I5" i="11"/>
  <c r="G5" i="11"/>
  <c r="G9" i="9"/>
  <c r="F13" i="6"/>
  <c r="C13" i="6"/>
  <c r="K13" i="6"/>
  <c r="M13" i="6"/>
  <c r="L13" i="6"/>
  <c r="E13" i="6"/>
  <c r="J13" i="6"/>
  <c r="I13" i="6"/>
  <c r="G13" i="6"/>
  <c r="H13" i="6"/>
  <c r="N13" i="6"/>
  <c r="D13" i="6"/>
  <c r="O11" i="6"/>
  <c r="E57" i="15"/>
  <c r="C14" i="12"/>
  <c r="D5" i="11"/>
  <c r="C5" i="11"/>
  <c r="C11" i="12"/>
  <c r="C13" i="12"/>
  <c r="C17" i="12"/>
  <c r="B5" i="11"/>
  <c r="C15" i="12"/>
  <c r="O8" i="6"/>
  <c r="B13" i="6"/>
  <c r="C16" i="12"/>
  <c r="G10" i="9"/>
  <c r="G11" i="9"/>
  <c r="I11" i="7"/>
  <c r="K11" i="7"/>
  <c r="J11" i="7"/>
  <c r="C11" i="7"/>
  <c r="D11" i="7"/>
  <c r="G11" i="7"/>
  <c r="B11" i="7"/>
  <c r="F11" i="7"/>
  <c r="H11" i="7"/>
  <c r="E11" i="7"/>
  <c r="C12" i="12"/>
  <c r="C8" i="7"/>
  <c r="K8" i="7"/>
  <c r="D8" i="7"/>
  <c r="E8" i="7"/>
  <c r="F8" i="7"/>
  <c r="I8" i="7"/>
  <c r="G8" i="7"/>
  <c r="H8" i="7"/>
  <c r="B8" i="7"/>
  <c r="J8" i="7"/>
  <c r="C10" i="12"/>
  <c r="O13" i="6"/>
  <c r="AO12" i="9"/>
  <c r="U12" i="9"/>
  <c r="BI12" i="9"/>
  <c r="AE12" i="9"/>
  <c r="AJ12" i="9"/>
  <c r="K12" i="9"/>
  <c r="AY12" i="9"/>
  <c r="K21" i="9"/>
  <c r="AY21" i="9"/>
  <c r="BI21" i="9"/>
  <c r="AJ21" i="9"/>
  <c r="P21" i="9"/>
  <c r="BD21" i="9"/>
  <c r="Z21" i="9"/>
  <c r="U21" i="9"/>
  <c r="AO21" i="9"/>
  <c r="AE21" i="9"/>
  <c r="AT21" i="9"/>
  <c r="BD12" i="9"/>
  <c r="Z12" i="9"/>
  <c r="P12" i="9"/>
  <c r="AT12" i="9"/>
  <c r="F12" i="9"/>
  <c r="G12" i="9"/>
  <c r="F21" i="9"/>
  <c r="G13" i="9"/>
  <c r="G14" i="9"/>
  <c r="G15" i="9"/>
  <c r="G16" i="9"/>
  <c r="G17" i="9"/>
  <c r="G18" i="9"/>
  <c r="G19" i="9"/>
  <c r="G20" i="9"/>
  <c r="G21" i="9"/>
  <c r="G22" i="9"/>
  <c r="G23" i="9"/>
  <c r="G24" i="9"/>
  <c r="G25" i="9"/>
  <c r="G26" i="9"/>
  <c r="G27" i="9"/>
  <c r="G28" i="9"/>
  <c r="G29" i="9"/>
  <c r="G30" i="9"/>
  <c r="G31" i="9"/>
  <c r="F32" i="9"/>
  <c r="G32" i="9"/>
  <c r="K32" i="9"/>
  <c r="K36" i="9"/>
  <c r="AJ32" i="9"/>
  <c r="AJ36" i="9"/>
  <c r="P32" i="9"/>
  <c r="P36" i="9"/>
  <c r="AE32" i="9"/>
  <c r="AE36" i="9"/>
  <c r="BD32" i="9"/>
  <c r="BD36" i="9"/>
  <c r="Z32" i="9"/>
  <c r="Z36" i="9"/>
  <c r="BI32" i="9"/>
  <c r="BI36" i="9"/>
  <c r="AY32" i="9"/>
  <c r="AY36" i="9"/>
  <c r="U32" i="9"/>
  <c r="U36" i="9"/>
  <c r="AT32" i="9"/>
  <c r="AT36" i="9"/>
  <c r="AO32" i="9"/>
  <c r="AO36" i="9"/>
  <c r="G33" i="9"/>
  <c r="G34" i="9"/>
  <c r="G35" i="9"/>
  <c r="F36" i="9"/>
  <c r="G36" i="9"/>
  <c r="L4" i="9"/>
  <c r="F38" i="9"/>
  <c r="L36" i="9"/>
  <c r="Q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Q36" i="9"/>
  <c r="V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V36" i="9"/>
  <c r="AA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AA36" i="9"/>
  <c r="AF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F36" i="9"/>
  <c r="AK4"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K5" i="9"/>
  <c r="AK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P4" i="9"/>
  <c r="AP5" i="9"/>
  <c r="AP6" i="9"/>
  <c r="AP7" i="9"/>
  <c r="AP8" i="9"/>
  <c r="AP9" i="9"/>
  <c r="AP10" i="9"/>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U4" i="9"/>
  <c r="AU5" i="9"/>
  <c r="AU6" i="9"/>
  <c r="AU7" i="9"/>
  <c r="AU8" i="9"/>
  <c r="AU9" i="9"/>
  <c r="AU10" i="9"/>
  <c r="AU11" i="9"/>
  <c r="AU12" i="9"/>
  <c r="AU13" i="9"/>
  <c r="AU14" i="9"/>
  <c r="AU15" i="9"/>
  <c r="AU16" i="9"/>
  <c r="AU17" i="9"/>
  <c r="AU18" i="9"/>
  <c r="AU19" i="9"/>
  <c r="AU20" i="9"/>
  <c r="AU21" i="9"/>
  <c r="AU22" i="9"/>
  <c r="AU23" i="9"/>
  <c r="AU24" i="9"/>
  <c r="AU25" i="9"/>
  <c r="AU26" i="9"/>
  <c r="AU27" i="9"/>
  <c r="AU28" i="9"/>
  <c r="AU29" i="9"/>
  <c r="AU30" i="9"/>
  <c r="AU31" i="9"/>
  <c r="AU32" i="9"/>
  <c r="AU33" i="9"/>
  <c r="AU34" i="9"/>
  <c r="AU36" i="9"/>
  <c r="AZ4" i="9"/>
  <c r="AZ5" i="9"/>
  <c r="AZ6" i="9"/>
  <c r="AZ7" i="9"/>
  <c r="AZ8" i="9"/>
  <c r="AZ9" i="9"/>
  <c r="AZ10" i="9"/>
  <c r="AZ11" i="9"/>
  <c r="AZ12" i="9"/>
  <c r="AZ13" i="9"/>
  <c r="AZ14" i="9"/>
  <c r="AZ15" i="9"/>
  <c r="AZ16" i="9"/>
  <c r="AZ17" i="9"/>
  <c r="AZ18" i="9"/>
  <c r="AZ19" i="9"/>
  <c r="AZ20" i="9"/>
  <c r="AZ21" i="9"/>
  <c r="AZ22" i="9"/>
  <c r="AZ23" i="9"/>
  <c r="AZ24" i="9"/>
  <c r="AZ25" i="9"/>
  <c r="AZ26" i="9"/>
  <c r="AZ27" i="9"/>
  <c r="AZ28" i="9"/>
  <c r="AZ29" i="9"/>
  <c r="AZ30" i="9"/>
  <c r="AZ31" i="9"/>
  <c r="AZ32" i="9"/>
  <c r="AZ33" i="9"/>
  <c r="AZ34" i="9"/>
  <c r="AZ35" i="9"/>
  <c r="AZ36" i="9"/>
  <c r="BE4" i="9"/>
  <c r="BE36" i="9"/>
  <c r="BJ4" i="9"/>
  <c r="BE5" i="9"/>
  <c r="BE6" i="9"/>
  <c r="BE7" i="9"/>
  <c r="BE8" i="9"/>
  <c r="BE9" i="9"/>
  <c r="BE10" i="9"/>
  <c r="BE11" i="9"/>
  <c r="BE12" i="9"/>
  <c r="BE13" i="9"/>
  <c r="BE14" i="9"/>
  <c r="BE15" i="9"/>
  <c r="BE16" i="9"/>
  <c r="BE17" i="9"/>
  <c r="BE18" i="9"/>
  <c r="BE19" i="9"/>
  <c r="BE20" i="9"/>
  <c r="BE21" i="9"/>
  <c r="BE22" i="9"/>
  <c r="BE23" i="9"/>
  <c r="BE24" i="9"/>
  <c r="BE25" i="9"/>
  <c r="BE26" i="9"/>
  <c r="BE27" i="9"/>
  <c r="BE28" i="9"/>
  <c r="BE29" i="9"/>
  <c r="BE30" i="9"/>
  <c r="BE31" i="9"/>
  <c r="BE32" i="9"/>
  <c r="BE33" i="9"/>
  <c r="BE34" i="9"/>
  <c r="BJ36" i="9"/>
  <c r="BJ5" i="9"/>
  <c r="BJ6" i="9"/>
  <c r="BJ7" i="9"/>
  <c r="BJ8" i="9"/>
  <c r="BJ9" i="9"/>
  <c r="BJ10" i="9"/>
  <c r="BJ11" i="9"/>
  <c r="BJ12" i="9"/>
  <c r="BJ13" i="9"/>
  <c r="BJ14" i="9"/>
  <c r="BJ15" i="9"/>
  <c r="BJ16" i="9"/>
  <c r="BJ17" i="9"/>
  <c r="BJ18" i="9"/>
  <c r="BJ19" i="9"/>
  <c r="BJ20" i="9"/>
  <c r="BJ21" i="9"/>
  <c r="BJ22" i="9"/>
  <c r="BJ23" i="9"/>
  <c r="BJ24" i="9"/>
  <c r="BJ25" i="9"/>
  <c r="BJ26" i="9"/>
  <c r="BJ27" i="9"/>
  <c r="BJ28" i="9"/>
  <c r="BJ29" i="9"/>
  <c r="BJ30" i="9"/>
  <c r="BJ31" i="9"/>
  <c r="BJ32" i="9"/>
  <c r="BJ33" i="9"/>
  <c r="BJ34" i="9"/>
  <c r="BJ35" i="9"/>
  <c r="O12" i="6" l="1"/>
  <c r="E16" i="6"/>
  <c r="M16" i="6"/>
  <c r="D16" i="6"/>
  <c r="N16" i="6"/>
  <c r="J16" i="6"/>
  <c r="D6" i="8"/>
  <c r="C46" i="8" s="1"/>
  <c r="L16" i="6"/>
  <c r="B16" i="6"/>
  <c r="H16" i="6"/>
  <c r="I16" i="6"/>
  <c r="G16" i="6"/>
  <c r="F16" i="6"/>
  <c r="K16" i="6"/>
  <c r="S7" i="2"/>
  <c r="S8" i="2"/>
  <c r="S6" i="2"/>
  <c r="S4" i="2"/>
  <c r="S3" i="2"/>
  <c r="S5" i="2"/>
  <c r="N8" i="2"/>
  <c r="N7" i="2"/>
  <c r="N5" i="2"/>
  <c r="N4" i="2"/>
  <c r="U4" i="2" s="1"/>
  <c r="V4" i="2" s="1"/>
  <c r="H13" i="5" s="1"/>
  <c r="F13" i="5" s="1"/>
  <c r="E13" i="5" s="1"/>
  <c r="D13" i="5" s="1"/>
  <c r="C13" i="5" s="1"/>
  <c r="N3" i="2"/>
  <c r="U3" i="2" s="1"/>
  <c r="V3" i="2" s="1"/>
  <c r="H12" i="5" s="1"/>
  <c r="F12" i="5" s="1"/>
  <c r="E12" i="5" s="1"/>
  <c r="R7" i="2"/>
  <c r="R6" i="2"/>
  <c r="R8" i="2"/>
  <c r="R5" i="2"/>
  <c r="O7" i="2"/>
  <c r="O8" i="2"/>
  <c r="O6" i="2"/>
  <c r="P7" i="2"/>
  <c r="P6" i="2"/>
  <c r="P8" i="2"/>
  <c r="P5" i="2"/>
  <c r="Q7" i="2"/>
  <c r="U7" i="2" s="1"/>
  <c r="V7" i="2" s="1"/>
  <c r="H14" i="5" s="1"/>
  <c r="F14" i="5" s="1"/>
  <c r="E14" i="5" s="1"/>
  <c r="D14" i="5" s="1"/>
  <c r="C14" i="5" s="1"/>
  <c r="Q6" i="2"/>
  <c r="U6" i="2" s="1"/>
  <c r="Q8" i="2"/>
  <c r="U8" i="2" s="1"/>
  <c r="V8" i="2" s="1"/>
  <c r="H15" i="5" s="1"/>
  <c r="F15" i="5" s="1"/>
  <c r="E15" i="5" s="1"/>
  <c r="D15" i="5" s="1"/>
  <c r="C15" i="5" s="1"/>
  <c r="Q5" i="2"/>
  <c r="V6" i="2"/>
  <c r="H17" i="5" s="1"/>
  <c r="F17" i="5" s="1"/>
  <c r="E17" i="5" s="1"/>
  <c r="D17" i="5" s="1"/>
  <c r="C17" i="5" s="1"/>
  <c r="U5" i="2"/>
  <c r="V5" i="2" s="1"/>
  <c r="H16" i="5" s="1"/>
  <c r="F16" i="5" s="1"/>
  <c r="D12" i="7" l="1"/>
  <c r="D13" i="7" s="1"/>
  <c r="D7" i="11" s="1"/>
  <c r="E12" i="7"/>
  <c r="E13" i="7" s="1"/>
  <c r="E7" i="11" s="1"/>
  <c r="F12" i="7"/>
  <c r="F13" i="7" s="1"/>
  <c r="F7" i="11" s="1"/>
  <c r="G12" i="7"/>
  <c r="G13" i="7" s="1"/>
  <c r="G7" i="11" s="1"/>
  <c r="H12" i="7"/>
  <c r="H13" i="7" s="1"/>
  <c r="H7" i="11" s="1"/>
  <c r="I12" i="7"/>
  <c r="I13" i="7" s="1"/>
  <c r="I7" i="11" s="1"/>
  <c r="J12" i="7"/>
  <c r="J13" i="7" s="1"/>
  <c r="J7" i="11" s="1"/>
  <c r="C12" i="7"/>
  <c r="C13" i="7" s="1"/>
  <c r="C7" i="11" s="1"/>
  <c r="K12" i="7"/>
  <c r="K13" i="7" s="1"/>
  <c r="K7" i="11" s="1"/>
  <c r="B12" i="7"/>
  <c r="B13" i="7" s="1"/>
  <c r="B7" i="11" s="1"/>
  <c r="C43" i="8"/>
  <c r="C63" i="15" s="1"/>
  <c r="N17" i="6" s="1"/>
  <c r="N18" i="6" s="1"/>
  <c r="O16" i="6"/>
  <c r="D12" i="5"/>
  <c r="C12" i="5" s="1"/>
  <c r="E16" i="5"/>
  <c r="F18" i="5"/>
  <c r="F19" i="5" s="1"/>
  <c r="D65" i="15" l="1"/>
  <c r="E65" i="15" s="1"/>
  <c r="E17" i="6"/>
  <c r="E18" i="6" s="1"/>
  <c r="E63" i="15"/>
  <c r="M17" i="6"/>
  <c r="M18" i="6" s="1"/>
  <c r="C17" i="6"/>
  <c r="C18" i="6" s="1"/>
  <c r="G17" i="6"/>
  <c r="G18" i="6" s="1"/>
  <c r="K17" i="6"/>
  <c r="K18" i="6" s="1"/>
  <c r="B17" i="6"/>
  <c r="D17" i="6"/>
  <c r="D18" i="6" s="1"/>
  <c r="H17" i="6"/>
  <c r="H18" i="6" s="1"/>
  <c r="L17" i="6"/>
  <c r="L18" i="6" s="1"/>
  <c r="I17" i="6"/>
  <c r="I18" i="6" s="1"/>
  <c r="F17" i="6"/>
  <c r="F18" i="6" s="1"/>
  <c r="J17" i="6"/>
  <c r="J18" i="6" s="1"/>
  <c r="H16" i="7"/>
  <c r="H18" i="7" s="1"/>
  <c r="H8" i="11" s="1"/>
  <c r="J16" i="7"/>
  <c r="J18" i="7" s="1"/>
  <c r="J8" i="11" s="1"/>
  <c r="C16" i="7"/>
  <c r="K16" i="7"/>
  <c r="K18" i="7" s="1"/>
  <c r="K8" i="11" s="1"/>
  <c r="F16" i="7"/>
  <c r="G16" i="7"/>
  <c r="G18" i="7" s="1"/>
  <c r="G8" i="11" s="1"/>
  <c r="B16" i="7"/>
  <c r="E16" i="7"/>
  <c r="I16" i="7"/>
  <c r="I18" i="7" s="1"/>
  <c r="I8" i="11" s="1"/>
  <c r="D16" i="7"/>
  <c r="D16" i="5"/>
  <c r="C16" i="5" s="1"/>
  <c r="E18" i="5"/>
  <c r="E19" i="5" s="1"/>
  <c r="O17" i="6" l="1"/>
  <c r="F17" i="7" s="1"/>
  <c r="B18" i="6"/>
  <c r="O18" i="6" s="1"/>
  <c r="C4" i="12"/>
  <c r="K5" i="12" s="1"/>
  <c r="C18" i="5"/>
  <c r="D18" i="5"/>
  <c r="D19" i="5" s="1"/>
  <c r="E17" i="7" l="1"/>
  <c r="E18" i="7" s="1"/>
  <c r="E8" i="11" s="1"/>
  <c r="D17" i="7"/>
  <c r="D15" i="11" s="1"/>
  <c r="F12" i="12" s="1"/>
  <c r="B17" i="7"/>
  <c r="B18" i="7" s="1"/>
  <c r="B8" i="11" s="1"/>
  <c r="C17" i="7"/>
  <c r="C18" i="7" s="1"/>
  <c r="C8" i="11" s="1"/>
  <c r="B2" i="10"/>
  <c r="B4" i="12"/>
  <c r="F18" i="7"/>
  <c r="F8" i="11" s="1"/>
  <c r="F15" i="11"/>
  <c r="F14" i="12" s="1"/>
  <c r="E15" i="11"/>
  <c r="F13" i="12" s="1"/>
  <c r="C12" i="15"/>
  <c r="C19" i="5"/>
  <c r="B15" i="11" l="1"/>
  <c r="F10" i="12" s="1"/>
  <c r="C15" i="11"/>
  <c r="F11" i="12" s="1"/>
  <c r="D18" i="7"/>
  <c r="D8" i="11" s="1"/>
  <c r="K4" i="12"/>
  <c r="I21" i="12"/>
  <c r="K1" i="12"/>
  <c r="M5" i="12" s="1"/>
  <c r="F6" i="10"/>
  <c r="B3" i="10"/>
  <c r="B7" i="10" s="1"/>
  <c r="E12" i="15"/>
  <c r="C13" i="15"/>
  <c r="E13" i="15" s="1"/>
  <c r="C14" i="15"/>
  <c r="E14" i="15" s="1"/>
  <c r="D15" i="15"/>
  <c r="D7" i="10" l="1"/>
  <c r="E7" i="10" s="1"/>
  <c r="F7" i="10" s="1"/>
  <c r="F3" i="10"/>
  <c r="B11" i="10"/>
  <c r="B14" i="10"/>
  <c r="B16" i="10"/>
  <c r="B10" i="10"/>
  <c r="B8" i="10"/>
  <c r="B9" i="10"/>
  <c r="B13" i="10"/>
  <c r="B15" i="10"/>
  <c r="B12" i="10"/>
  <c r="M4" i="12"/>
  <c r="O4" i="12" s="1"/>
  <c r="C5" i="6"/>
  <c r="C6" i="6" s="1"/>
  <c r="C14" i="6" s="1"/>
  <c r="C19" i="6" s="1"/>
  <c r="M5" i="6"/>
  <c r="M6" i="6" s="1"/>
  <c r="M14" i="6" s="1"/>
  <c r="M19" i="6" s="1"/>
  <c r="B5" i="6"/>
  <c r="I5" i="6"/>
  <c r="I6" i="6" s="1"/>
  <c r="I14" i="6" s="1"/>
  <c r="I19" i="6" s="1"/>
  <c r="H5" i="6"/>
  <c r="H6" i="6" s="1"/>
  <c r="H14" i="6" s="1"/>
  <c r="H19" i="6" s="1"/>
  <c r="L5" i="6"/>
  <c r="L6" i="6" s="1"/>
  <c r="L14" i="6" s="1"/>
  <c r="L19" i="6" s="1"/>
  <c r="G5" i="6"/>
  <c r="G6" i="6" s="1"/>
  <c r="G14" i="6" s="1"/>
  <c r="G19" i="6" s="1"/>
  <c r="D17" i="15"/>
  <c r="D5" i="6"/>
  <c r="D6" i="6" s="1"/>
  <c r="D14" i="6" s="1"/>
  <c r="D19" i="6" s="1"/>
  <c r="E15" i="15"/>
  <c r="J5" i="6"/>
  <c r="J6" i="6" s="1"/>
  <c r="J14" i="6" s="1"/>
  <c r="J19" i="6" s="1"/>
  <c r="N5" i="6"/>
  <c r="N6" i="6" s="1"/>
  <c r="N14" i="6" s="1"/>
  <c r="N19" i="6" s="1"/>
  <c r="E5" i="6"/>
  <c r="E6" i="6" s="1"/>
  <c r="E14" i="6" s="1"/>
  <c r="E19" i="6" s="1"/>
  <c r="K5" i="6"/>
  <c r="K6" i="6" s="1"/>
  <c r="K14" i="6" s="1"/>
  <c r="K19" i="6" s="1"/>
  <c r="F5" i="6"/>
  <c r="F6" i="6" s="1"/>
  <c r="F14" i="6" s="1"/>
  <c r="F19" i="6" s="1"/>
  <c r="D8" i="10" l="1"/>
  <c r="C20" i="7" s="1"/>
  <c r="C10" i="11" s="1"/>
  <c r="B17" i="10"/>
  <c r="B20" i="7"/>
  <c r="B10" i="11" s="1"/>
  <c r="E17" i="15"/>
  <c r="D59" i="15"/>
  <c r="B6" i="6"/>
  <c r="O5" i="6"/>
  <c r="E8" i="10" l="1"/>
  <c r="F8" i="10" s="1"/>
  <c r="D9" i="10" s="1"/>
  <c r="J5" i="7"/>
  <c r="J6" i="7" s="1"/>
  <c r="I5" i="7"/>
  <c r="I6" i="7" s="1"/>
  <c r="K5" i="7"/>
  <c r="K6" i="7" s="1"/>
  <c r="E5" i="7"/>
  <c r="G5" i="7"/>
  <c r="G6" i="7" s="1"/>
  <c r="F5" i="7"/>
  <c r="F6" i="7" s="1"/>
  <c r="H5" i="7"/>
  <c r="H6" i="7" s="1"/>
  <c r="O6" i="6"/>
  <c r="B14" i="6"/>
  <c r="D67" i="15"/>
  <c r="E59" i="15"/>
  <c r="D20" i="7" l="1"/>
  <c r="D10" i="11" s="1"/>
  <c r="E9" i="10"/>
  <c r="F9" i="10" s="1"/>
  <c r="E67" i="15"/>
  <c r="O14" i="6"/>
  <c r="B19" i="6"/>
  <c r="H6" i="11"/>
  <c r="H9" i="11" s="1"/>
  <c r="H14" i="7"/>
  <c r="H19" i="7" s="1"/>
  <c r="F6" i="11"/>
  <c r="F9" i="11" s="1"/>
  <c r="F14" i="7"/>
  <c r="F19" i="7" s="1"/>
  <c r="G6" i="11"/>
  <c r="G9" i="11" s="1"/>
  <c r="G14" i="7"/>
  <c r="G19" i="7" s="1"/>
  <c r="C5" i="7"/>
  <c r="C6" i="7" s="1"/>
  <c r="D5" i="7"/>
  <c r="D6" i="7" s="1"/>
  <c r="E6" i="7"/>
  <c r="B5" i="7"/>
  <c r="B6" i="7" s="1"/>
  <c r="K6" i="11"/>
  <c r="K9" i="11" s="1"/>
  <c r="K14" i="7"/>
  <c r="K19" i="7" s="1"/>
  <c r="I6" i="11"/>
  <c r="I9" i="11" s="1"/>
  <c r="I14" i="7"/>
  <c r="I19" i="7" s="1"/>
  <c r="J6" i="11"/>
  <c r="J9" i="11" s="1"/>
  <c r="J14" i="7"/>
  <c r="J19" i="7" s="1"/>
  <c r="D10" i="10" l="1"/>
  <c r="B6" i="11"/>
  <c r="B9" i="11" s="1"/>
  <c r="B11" i="11" s="1"/>
  <c r="B14" i="7"/>
  <c r="B19" i="7" s="1"/>
  <c r="B21" i="7" s="1"/>
  <c r="E6" i="11"/>
  <c r="E9" i="11" s="1"/>
  <c r="E14" i="7"/>
  <c r="E19" i="7" s="1"/>
  <c r="D6" i="11"/>
  <c r="D9" i="11" s="1"/>
  <c r="D11" i="11" s="1"/>
  <c r="D14" i="7"/>
  <c r="D19" i="7" s="1"/>
  <c r="D21" i="7" s="1"/>
  <c r="C6" i="11"/>
  <c r="C9" i="11" s="1"/>
  <c r="C11" i="11" s="1"/>
  <c r="C14" i="7"/>
  <c r="C19" i="7" s="1"/>
  <c r="C21" i="7" s="1"/>
  <c r="O19" i="6"/>
  <c r="D69" i="15" l="1"/>
  <c r="E20" i="7"/>
  <c r="E10" i="11" s="1"/>
  <c r="E11" i="11" s="1"/>
  <c r="E10" i="10"/>
  <c r="F10" i="10" s="1"/>
  <c r="C22" i="7"/>
  <c r="C23" i="7" s="1"/>
  <c r="C12" i="11"/>
  <c r="C13" i="11" s="1"/>
  <c r="D22" i="7"/>
  <c r="D23" i="7" s="1"/>
  <c r="D12" i="11"/>
  <c r="D13" i="11" s="1"/>
  <c r="B22" i="7"/>
  <c r="B23" i="7" s="1"/>
  <c r="B12" i="11"/>
  <c r="B13" i="11" s="1"/>
  <c r="E12" i="11" l="1"/>
  <c r="E13" i="11" s="1"/>
  <c r="E21" i="7"/>
  <c r="J20" i="6"/>
  <c r="J21" i="6" s="1"/>
  <c r="L20" i="6"/>
  <c r="L21" i="6" s="1"/>
  <c r="N20" i="6"/>
  <c r="N21" i="6" s="1"/>
  <c r="H20" i="6"/>
  <c r="H21" i="6" s="1"/>
  <c r="F20" i="6"/>
  <c r="F21" i="6" s="1"/>
  <c r="C20" i="6"/>
  <c r="C21" i="6" s="1"/>
  <c r="E20" i="6"/>
  <c r="E21" i="6" s="1"/>
  <c r="I20" i="6"/>
  <c r="I21" i="6" s="1"/>
  <c r="D20" i="6"/>
  <c r="D21" i="6" s="1"/>
  <c r="E69" i="15"/>
  <c r="K20" i="6"/>
  <c r="K21" i="6" s="1"/>
  <c r="M20" i="6"/>
  <c r="M21" i="6" s="1"/>
  <c r="G20" i="6"/>
  <c r="G21" i="6" s="1"/>
  <c r="B20" i="6"/>
  <c r="D71" i="15"/>
  <c r="D11" i="10"/>
  <c r="E10" i="12"/>
  <c r="B18" i="11"/>
  <c r="B16" i="11"/>
  <c r="E12" i="12"/>
  <c r="D16" i="11"/>
  <c r="D18" i="11"/>
  <c r="C18" i="11"/>
  <c r="C16" i="11"/>
  <c r="E11" i="12"/>
  <c r="E18" i="11" l="1"/>
  <c r="E16" i="11"/>
  <c r="E13" i="12"/>
  <c r="G13" i="12" s="1"/>
  <c r="I13" i="12" s="1"/>
  <c r="E22" i="7"/>
  <c r="E23" i="7" s="1"/>
  <c r="E71" i="15"/>
  <c r="D73" i="15"/>
  <c r="E73" i="15" s="1"/>
  <c r="O20" i="6"/>
  <c r="B21" i="6"/>
  <c r="O21" i="6" s="1"/>
  <c r="F20" i="7"/>
  <c r="E11" i="10"/>
  <c r="F11" i="10" s="1"/>
  <c r="D11" i="12"/>
  <c r="G11" i="12"/>
  <c r="I11" i="12" s="1"/>
  <c r="D12" i="12"/>
  <c r="G12" i="12"/>
  <c r="I12" i="12" s="1"/>
  <c r="D10" i="12"/>
  <c r="G10" i="12"/>
  <c r="I10" i="12" s="1"/>
  <c r="D13" i="12" l="1"/>
  <c r="D75" i="15"/>
  <c r="E75" i="15" s="1"/>
  <c r="E4" i="12" s="1"/>
  <c r="F10" i="11"/>
  <c r="F11" i="11" s="1"/>
  <c r="F21" i="7"/>
  <c r="D12" i="10"/>
  <c r="G20" i="7" l="1"/>
  <c r="E12" i="10"/>
  <c r="F12" i="10" s="1"/>
  <c r="F22" i="7"/>
  <c r="F23" i="7" s="1"/>
  <c r="F12" i="11"/>
  <c r="F13" i="11" s="1"/>
  <c r="E14" i="12" l="1"/>
  <c r="F16" i="11"/>
  <c r="F18" i="11"/>
  <c r="D13" i="10"/>
  <c r="G10" i="11"/>
  <c r="G11" i="11" s="1"/>
  <c r="G21" i="7"/>
  <c r="G22" i="7" l="1"/>
  <c r="G23" i="7" s="1"/>
  <c r="G12" i="11"/>
  <c r="G13" i="11" s="1"/>
  <c r="D14" i="12"/>
  <c r="G14" i="12"/>
  <c r="I14" i="12" s="1"/>
  <c r="H20" i="7"/>
  <c r="E13" i="10"/>
  <c r="F13" i="10" s="1"/>
  <c r="D14" i="10" l="1"/>
  <c r="G16" i="11"/>
  <c r="E15" i="12"/>
  <c r="G18" i="11"/>
  <c r="H10" i="11"/>
  <c r="H11" i="11" s="1"/>
  <c r="H21" i="7"/>
  <c r="H22" i="7" l="1"/>
  <c r="H23" i="7" s="1"/>
  <c r="H12" i="11"/>
  <c r="H13" i="11" s="1"/>
  <c r="G15" i="12"/>
  <c r="I15" i="12" s="1"/>
  <c r="D15" i="12"/>
  <c r="I20" i="7"/>
  <c r="E14" i="10"/>
  <c r="F14" i="10" s="1"/>
  <c r="D15" i="10" l="1"/>
  <c r="I10" i="11"/>
  <c r="I11" i="11" s="1"/>
  <c r="I21" i="7"/>
  <c r="H18" i="11"/>
  <c r="H16" i="11"/>
  <c r="E16" i="12"/>
  <c r="D16" i="12" l="1"/>
  <c r="G16" i="12"/>
  <c r="I16" i="12" s="1"/>
  <c r="I12" i="11"/>
  <c r="I13" i="11" s="1"/>
  <c r="I22" i="7"/>
  <c r="I23" i="7" s="1"/>
  <c r="J20" i="7"/>
  <c r="E15" i="10"/>
  <c r="F15" i="10" s="1"/>
  <c r="I16" i="11" l="1"/>
  <c r="E17" i="12"/>
  <c r="I18" i="11"/>
  <c r="D16" i="10"/>
  <c r="J10" i="11"/>
  <c r="J11" i="11" s="1"/>
  <c r="J21" i="7"/>
  <c r="J22" i="7" l="1"/>
  <c r="J23" i="7" s="1"/>
  <c r="J12" i="11"/>
  <c r="J13" i="11" s="1"/>
  <c r="G17" i="12"/>
  <c r="I17" i="12" s="1"/>
  <c r="D17" i="12"/>
  <c r="K20" i="7"/>
  <c r="E16" i="10"/>
  <c r="F16" i="10" s="1"/>
  <c r="D17" i="10"/>
  <c r="E17" i="10" s="1"/>
  <c r="K10" i="11" l="1"/>
  <c r="K11" i="11" s="1"/>
  <c r="K21" i="7"/>
  <c r="J16" i="11"/>
  <c r="J18" i="11"/>
  <c r="E18" i="12"/>
  <c r="K22" i="7" l="1"/>
  <c r="K23" i="7" s="1"/>
  <c r="G18" i="12"/>
  <c r="I18" i="12" s="1"/>
  <c r="D18" i="12"/>
  <c r="K12" i="11"/>
  <c r="K13" i="11" s="1"/>
  <c r="K18" i="11" l="1"/>
  <c r="K16" i="11"/>
  <c r="E19" i="12"/>
  <c r="D19" i="12" l="1"/>
  <c r="G19" i="12"/>
  <c r="H19" i="12" l="1"/>
  <c r="I19" i="12" s="1"/>
  <c r="I20" i="12" s="1"/>
  <c r="I2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Hight</author>
  </authors>
  <commentList>
    <comment ref="L20" authorId="0" shapeId="0" xr:uid="{8C97A2BC-2AC4-FF4C-A87C-274DAD52819B}">
      <text>
        <r>
          <rPr>
            <b/>
            <sz val="10"/>
            <color rgb="FF000000"/>
            <rFont val="Tahoma"/>
            <family val="2"/>
          </rPr>
          <t>Stephen Hight:</t>
        </r>
        <r>
          <rPr>
            <sz val="10"/>
            <color rgb="FF000000"/>
            <rFont val="Tahoma"/>
            <family val="2"/>
          </rPr>
          <t xml:space="preserve">
</t>
        </r>
        <r>
          <rPr>
            <sz val="10"/>
            <color rgb="FF000000"/>
            <rFont val="Tahoma"/>
            <family val="2"/>
          </rPr>
          <t>You do not need to fill in Rows 20 - 22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6" authorId="0" shapeId="0" xr:uid="{0C222EF0-0235-B44E-B2EE-E17C919692FE}">
      <text>
        <r>
          <rPr>
            <b/>
            <sz val="10"/>
            <color rgb="FF000000"/>
            <rFont val="Tahoma"/>
            <family val="2"/>
          </rPr>
          <t>Microsoft Office User:</t>
        </r>
        <r>
          <rPr>
            <sz val="10"/>
            <color rgb="FF000000"/>
            <rFont val="Tahoma"/>
            <family val="2"/>
          </rPr>
          <t xml:space="preserve">
</t>
        </r>
        <r>
          <rPr>
            <sz val="10"/>
            <color rgb="FF000000"/>
            <rFont val="Tahoma"/>
            <family val="2"/>
          </rPr>
          <t>Make sure to input your WACC calculation here</t>
        </r>
      </text>
    </comment>
  </commentList>
</comments>
</file>

<file path=xl/sharedStrings.xml><?xml version="1.0" encoding="utf-8"?>
<sst xmlns="http://schemas.openxmlformats.org/spreadsheetml/2006/main" count="589" uniqueCount="371">
  <si>
    <t>Summary</t>
  </si>
  <si>
    <t>Restaurant Name</t>
  </si>
  <si>
    <t>L'amore</t>
  </si>
  <si>
    <t>Restaurant Address</t>
  </si>
  <si>
    <t>3035 Peachtree Rd NE Atlanta, GA 30305</t>
  </si>
  <si>
    <t>Number of Seats</t>
  </si>
  <si>
    <t xml:space="preserve">HADM 3403 – Restaurant Business Plan Project </t>
  </si>
  <si>
    <t>Menu Mix</t>
  </si>
  <si>
    <t>Hourly Customer</t>
  </si>
  <si>
    <t>Salaries</t>
  </si>
  <si>
    <t>Preopening</t>
  </si>
  <si>
    <t>Income Statement</t>
  </si>
  <si>
    <t>Monthly Income Statement</t>
  </si>
  <si>
    <t>10-year Income Statement</t>
  </si>
  <si>
    <t>Loan Amortization</t>
  </si>
  <si>
    <t>Cash Flow Projection</t>
  </si>
  <si>
    <t>Valuation</t>
  </si>
  <si>
    <t>Menu Mix with Menu Engineering</t>
  </si>
  <si>
    <t>Beverages</t>
  </si>
  <si>
    <t>Menu Item</t>
  </si>
  <si>
    <t>Menu Price</t>
  </si>
  <si>
    <t>Cost</t>
  </si>
  <si>
    <t>Cost %</t>
  </si>
  <si>
    <t>Popularity</t>
  </si>
  <si>
    <t>Per Capita Spending</t>
  </si>
  <si>
    <t>Total Cost</t>
  </si>
  <si>
    <t>Espresso Martini</t>
  </si>
  <si>
    <t>Bellini</t>
  </si>
  <si>
    <t>Negroni</t>
  </si>
  <si>
    <t>Red wine</t>
  </si>
  <si>
    <t>Non-alcoholic sparkling wine</t>
  </si>
  <si>
    <t>White wine</t>
  </si>
  <si>
    <t>Per Capita Sales &amp; Cost of Beverages Menu</t>
  </si>
  <si>
    <t>Food</t>
  </si>
  <si>
    <t>Appetizers</t>
  </si>
  <si>
    <t>Arancini</t>
  </si>
  <si>
    <t>Bruschetta</t>
  </si>
  <si>
    <t>Caprese</t>
  </si>
  <si>
    <t>Cheese board</t>
  </si>
  <si>
    <t>Salads</t>
  </si>
  <si>
    <t>Greek salad</t>
  </si>
  <si>
    <t>Caesar salad</t>
  </si>
  <si>
    <t>Entrees</t>
  </si>
  <si>
    <t>Bolognese</t>
  </si>
  <si>
    <t>Amore (Rose Pasta)</t>
  </si>
  <si>
    <t>Polenta</t>
  </si>
  <si>
    <t>Squash Ravioli</t>
  </si>
  <si>
    <t>Tortellini soup</t>
  </si>
  <si>
    <t>Gnocchi</t>
  </si>
  <si>
    <t>Desserts</t>
  </si>
  <si>
    <t>Panna cotta</t>
  </si>
  <si>
    <t>Cannoli</t>
  </si>
  <si>
    <t>Tiramisu</t>
  </si>
  <si>
    <t>Per Capita Sales &amp; Cost of Food Menu</t>
  </si>
  <si>
    <t>Retail</t>
  </si>
  <si>
    <t>L'amore meal for two</t>
  </si>
  <si>
    <t>Dessert Tour for four</t>
  </si>
  <si>
    <t xml:space="preserve">Pasta Sampler for two </t>
  </si>
  <si>
    <t>4 drinks deal</t>
  </si>
  <si>
    <t>Appetizer Plate</t>
  </si>
  <si>
    <t>Per Capita Sales &amp; Cost of Retail Menu</t>
  </si>
  <si>
    <t>Total Per Capita Spending for Beverages</t>
  </si>
  <si>
    <t>Total Per Capita Spending for Food</t>
  </si>
  <si>
    <t>Total Per Capita Spending for Retail</t>
  </si>
  <si>
    <t>Total Beverage, Food, and Retail Spending per Capita</t>
  </si>
  <si>
    <t>Overall Food &amp; Beverage Cost Percentage</t>
  </si>
  <si>
    <t>Hourly Customer Count Projection</t>
  </si>
  <si>
    <t># of guests to serve per position</t>
  </si>
  <si>
    <t>Position</t>
  </si>
  <si>
    <t>Sun</t>
  </si>
  <si>
    <t>Mon</t>
  </si>
  <si>
    <t>Tue</t>
  </si>
  <si>
    <t>Wed</t>
  </si>
  <si>
    <t>Thu</t>
  </si>
  <si>
    <t>Fri</t>
  </si>
  <si>
    <t>Sat</t>
  </si>
  <si>
    <t>Weekly Total</t>
  </si>
  <si>
    <t>Daily Total</t>
  </si>
  <si>
    <t># of seats</t>
  </si>
  <si>
    <t>AM Bartender</t>
  </si>
  <si>
    <t>Total</t>
  </si>
  <si>
    <t>PM Bartender</t>
  </si>
  <si>
    <t>11:00 - 12:00</t>
  </si>
  <si>
    <t>AM Cook</t>
  </si>
  <si>
    <t>12:00 - 01:00</t>
  </si>
  <si>
    <t>PM Cook</t>
  </si>
  <si>
    <t>01:00 - 02:00</t>
  </si>
  <si>
    <t>AM Server</t>
  </si>
  <si>
    <t>02:00 - 03:00</t>
  </si>
  <si>
    <t>PM Server</t>
  </si>
  <si>
    <t>03:00 - 04:00</t>
  </si>
  <si>
    <t>04:00 - 05:00</t>
  </si>
  <si>
    <t>05:00 - 06:00</t>
  </si>
  <si>
    <t>06:00 - 07:00</t>
  </si>
  <si>
    <t>07:00 - 08:00</t>
  </si>
  <si>
    <t>08:00 - 09:00</t>
  </si>
  <si>
    <t>09:00-10:00</t>
  </si>
  <si>
    <t>-</t>
  </si>
  <si>
    <t>10:00-10:30</t>
  </si>
  <si>
    <t>10:30-11:00</t>
  </si>
  <si>
    <t>Total Count</t>
  </si>
  <si>
    <t>Seat Turnover</t>
  </si>
  <si>
    <t xml:space="preserve">Avg. Check </t>
  </si>
  <si>
    <t>Avg. Check Cost</t>
  </si>
  <si>
    <t>Sales Estimate</t>
  </si>
  <si>
    <t>Cost Estimate</t>
  </si>
  <si>
    <t>Daily Total Sales</t>
  </si>
  <si>
    <t>Daily Customer</t>
  </si>
  <si>
    <t>Daily Seat Turnover</t>
  </si>
  <si>
    <t>Hourly Employee Schedule Projection (Normal Condition)</t>
  </si>
  <si>
    <t>Department</t>
  </si>
  <si>
    <t>Front</t>
  </si>
  <si>
    <t>09:00 - 10:00</t>
  </si>
  <si>
    <t>10:00 - 11:00</t>
  </si>
  <si>
    <t>Total Hours</t>
  </si>
  <si>
    <t>Back</t>
  </si>
  <si>
    <t>Annual</t>
  </si>
  <si>
    <t>Monthly</t>
  </si>
  <si>
    <t>Weekly</t>
  </si>
  <si>
    <t>Daily</t>
  </si>
  <si>
    <t>Hours per shift</t>
  </si>
  <si>
    <t># Employees per day</t>
  </si>
  <si>
    <t>Hourly wage</t>
  </si>
  <si>
    <t>Salaried Employees</t>
  </si>
  <si>
    <t>FOH</t>
  </si>
  <si>
    <t>General Manager</t>
  </si>
  <si>
    <t>n/a</t>
  </si>
  <si>
    <t>Assistant Manager 1</t>
  </si>
  <si>
    <t>BOH</t>
  </si>
  <si>
    <t>Total Salaried Wages</t>
  </si>
  <si>
    <t>Hourly Employees</t>
  </si>
  <si>
    <t>Total Hourly Wages</t>
  </si>
  <si>
    <t>Total Wages</t>
  </si>
  <si>
    <t>Preopening Checklist Summary</t>
  </si>
  <si>
    <r>
      <t>1.</t>
    </r>
    <r>
      <rPr>
        <sz val="7"/>
        <color theme="1"/>
        <rFont val="Times New Roman"/>
        <family val="1"/>
      </rPr>
      <t xml:space="preserve">       </t>
    </r>
    <r>
      <rPr>
        <sz val="11"/>
        <color theme="1"/>
        <rFont val="Times New Roman"/>
        <family val="1"/>
      </rPr>
      <t>Preopening costs to be capitalized</t>
    </r>
  </si>
  <si>
    <r>
      <t>2.</t>
    </r>
    <r>
      <rPr>
        <sz val="7"/>
        <color theme="1"/>
        <rFont val="Times New Roman"/>
        <family val="1"/>
      </rPr>
      <t xml:space="preserve">       </t>
    </r>
    <r>
      <rPr>
        <sz val="11"/>
        <color theme="1"/>
        <rFont val="Times New Roman"/>
        <family val="1"/>
      </rPr>
      <t>Equipment</t>
    </r>
  </si>
  <si>
    <r>
      <t>3.</t>
    </r>
    <r>
      <rPr>
        <sz val="7"/>
        <color theme="1"/>
        <rFont val="Times New Roman"/>
        <family val="1"/>
      </rPr>
      <t xml:space="preserve">       </t>
    </r>
    <r>
      <rPr>
        <sz val="11"/>
        <color theme="1"/>
        <rFont val="Times New Roman"/>
        <family val="1"/>
      </rPr>
      <t>Cash</t>
    </r>
  </si>
  <si>
    <t>Preopening Costs to be Capitalized</t>
  </si>
  <si>
    <t>Legal services (permits, etc)</t>
  </si>
  <si>
    <t>Marketing</t>
  </si>
  <si>
    <t>Consultant fees</t>
  </si>
  <si>
    <t>Insurance (general liability/worker’s compensation/property casualty)</t>
  </si>
  <si>
    <t>Prepaid rent ($9/sq foot @ 1,200 sq. feet)</t>
  </si>
  <si>
    <t>Remodeling/Cosmetic/Construction ($73 sq/ft. x 1,200 square feet)</t>
  </si>
  <si>
    <t>Equipment/FFE</t>
  </si>
  <si>
    <t>Pasta maker</t>
  </si>
  <si>
    <t>Pasta cooker</t>
  </si>
  <si>
    <t>Hot water machine</t>
  </si>
  <si>
    <t>Meat slicer</t>
  </si>
  <si>
    <t>Scales</t>
  </si>
  <si>
    <t>Dough Sheeter</t>
  </si>
  <si>
    <t>Pizza oven</t>
  </si>
  <si>
    <t>Food service equipment:</t>
  </si>
  <si>
    <t>Refrigeration</t>
  </si>
  <si>
    <t>Stove/oven</t>
  </si>
  <si>
    <t>Dishwasher</t>
  </si>
  <si>
    <t>Ice machine</t>
  </si>
  <si>
    <t>Sinks</t>
  </si>
  <si>
    <t>Countertops/storage bins</t>
  </si>
  <si>
    <t>POS system/Register</t>
  </si>
  <si>
    <t>Ventilation/Security</t>
  </si>
  <si>
    <t>Office Equipment (computer, phone, file cabinets)</t>
  </si>
  <si>
    <t>Furniture</t>
  </si>
  <si>
    <t>Signage</t>
  </si>
  <si>
    <t>WIFI setup (router, etc)</t>
  </si>
  <si>
    <t>Cash (Operating Capital)</t>
  </si>
  <si>
    <t>Cash Reserves ($10,000/month x 2 – 3 months)</t>
  </si>
  <si>
    <t>Depreciation (straight-line, $0 salvage value, 5 year useful life)</t>
  </si>
  <si>
    <t>Balance Sheet:</t>
  </si>
  <si>
    <t>Assets (preopening)</t>
  </si>
  <si>
    <t>Liabilities</t>
  </si>
  <si>
    <t>Notes Payable</t>
  </si>
  <si>
    <t>Equity</t>
  </si>
  <si>
    <t>Investor A</t>
  </si>
  <si>
    <t>Investor B</t>
  </si>
  <si>
    <t>Investor C</t>
  </si>
  <si>
    <t>Investor D</t>
  </si>
  <si>
    <t>Investor E</t>
  </si>
  <si>
    <t>Note: This is an example that serves as a reference for your business. For your own business, give your best estimate for some of these costs. In some instances, such as insurance, you can actually obtain a quote from a business.</t>
  </si>
  <si>
    <t>Income Statement (Optimal Year)</t>
  </si>
  <si>
    <t>Year Ended 12/31/20XX</t>
  </si>
  <si>
    <t>$</t>
  </si>
  <si>
    <t>% of Revenue</t>
  </si>
  <si>
    <t>REVENUES</t>
  </si>
  <si>
    <t>COST OF SALES</t>
  </si>
  <si>
    <t>LABOR</t>
  </si>
  <si>
    <t>Wages</t>
  </si>
  <si>
    <t>Payroll tax (7.65%)</t>
  </si>
  <si>
    <t>Group Insurance (2.7%)</t>
  </si>
  <si>
    <t>Total Payroll &amp; Related expenses</t>
  </si>
  <si>
    <t>PRIME COST (FOOD + BEVERAGE + LABOR)</t>
  </si>
  <si>
    <t>OTHER CONTROLLABLE EXPENSES</t>
  </si>
  <si>
    <t>Operating expenses</t>
  </si>
  <si>
    <t>China &amp; silverware (1%)</t>
  </si>
  <si>
    <t>Cleaning (3rd party contracted)</t>
  </si>
  <si>
    <t>Exterminating</t>
  </si>
  <si>
    <t>Operating supplies (stir sticks, etc)</t>
  </si>
  <si>
    <t>Flowers &amp; Decoration</t>
  </si>
  <si>
    <t>Napkins</t>
  </si>
  <si>
    <t>Cleaning supplies</t>
  </si>
  <si>
    <t>Trash removal</t>
  </si>
  <si>
    <t>Total Operating expenses</t>
  </si>
  <si>
    <t xml:space="preserve">Marketing </t>
  </si>
  <si>
    <t>Local promotion</t>
  </si>
  <si>
    <t>Redemption (coupon, etc.)</t>
  </si>
  <si>
    <t>Total marketing expense</t>
  </si>
  <si>
    <t>Energy</t>
  </si>
  <si>
    <t>Electricity</t>
  </si>
  <si>
    <t>Gas</t>
  </si>
  <si>
    <t>Water/Sewerage</t>
  </si>
  <si>
    <t>Total energy expenses</t>
  </si>
  <si>
    <t>Administrative</t>
  </si>
  <si>
    <t>Credit card fee (2%) @ 90% CC usage</t>
  </si>
  <si>
    <t>Office Supplies</t>
  </si>
  <si>
    <t>Telephone</t>
  </si>
  <si>
    <t>General Insurance (Fire, Liability, Work comp, casualty)</t>
  </si>
  <si>
    <t>Total administrative expenses</t>
  </si>
  <si>
    <t>Repairs &amp; Maintenance</t>
  </si>
  <si>
    <t>Air cond &amp; heating</t>
  </si>
  <si>
    <t>Building</t>
  </si>
  <si>
    <t>Furniture &amp; fixture</t>
  </si>
  <si>
    <t>Kitchin Equipment</t>
  </si>
  <si>
    <t>Plumbing &amp; electrical</t>
  </si>
  <si>
    <t>Technology</t>
  </si>
  <si>
    <t>Total Repair &amp; maintenance</t>
  </si>
  <si>
    <t>TOTAL OTHER CONTROLLABLE EXPENSES</t>
  </si>
  <si>
    <t>CONTROLLABLE INCOME</t>
  </si>
  <si>
    <t>NON-CONTROLLABLE EXPENSES</t>
  </si>
  <si>
    <t>Lease Payment ($9/Square foot)</t>
  </si>
  <si>
    <t>Depreciation &amp; Amoritization</t>
  </si>
  <si>
    <t>Equipment Leases</t>
  </si>
  <si>
    <t>TOTAL NON-CONTROLLABLE EXPENSES</t>
  </si>
  <si>
    <t>RESTAURANT OPERATING INCOME</t>
  </si>
  <si>
    <t>INTEREST EXPENSE</t>
  </si>
  <si>
    <t>INCOME BEFORE INCOME TAXES</t>
  </si>
  <si>
    <t>INCOME TAX EXPENSE (30%)</t>
  </si>
  <si>
    <t>NET INCOME</t>
  </si>
  <si>
    <t>Pro Forma Income Statement Monthly Breakdown (Optimal Year)</t>
  </si>
  <si>
    <t xml:space="preserve">  </t>
  </si>
  <si>
    <t>Period 1</t>
  </si>
  <si>
    <t>Period 2</t>
  </si>
  <si>
    <t>Period 3</t>
  </si>
  <si>
    <t>Period 4</t>
  </si>
  <si>
    <t>Period 5</t>
  </si>
  <si>
    <t>Period 6</t>
  </si>
  <si>
    <t>Period 7</t>
  </si>
  <si>
    <t>Period 8</t>
  </si>
  <si>
    <t>Period 9</t>
  </si>
  <si>
    <t>Period 10</t>
  </si>
  <si>
    <t>Period 11</t>
  </si>
  <si>
    <t>Period 12</t>
  </si>
  <si>
    <t>Period 13</t>
  </si>
  <si>
    <t>Annual Total</t>
  </si>
  <si>
    <t>Revenues</t>
  </si>
  <si>
    <t>Cost of Sales</t>
  </si>
  <si>
    <t>Labor</t>
  </si>
  <si>
    <t>Prime Cost</t>
  </si>
  <si>
    <t>Other Controllable Expenses</t>
  </si>
  <si>
    <t>Total Operating Expenses</t>
  </si>
  <si>
    <t>Total Marketing Expense</t>
  </si>
  <si>
    <t>Total Energy Expenses</t>
  </si>
  <si>
    <t>Total Administrative Expenses</t>
  </si>
  <si>
    <t>Total Repair &amp; Maintenance</t>
  </si>
  <si>
    <t>Total Other Controllable Expenses</t>
  </si>
  <si>
    <t>Controllable Income</t>
  </si>
  <si>
    <t>Non-Controllable Expenses</t>
  </si>
  <si>
    <t>Lease Payment</t>
  </si>
  <si>
    <t>Depreciation &amp; Amortization</t>
  </si>
  <si>
    <t>Total Non-controllable Expenses</t>
  </si>
  <si>
    <t>Restaurant Operating Income</t>
  </si>
  <si>
    <t>Interest Expense</t>
  </si>
  <si>
    <t>Income Before Income Taxes</t>
  </si>
  <si>
    <t>Pro Forma Income Statement – 10-year Forecast</t>
  </si>
  <si>
    <t>Year 1</t>
  </si>
  <si>
    <t>Year 2</t>
  </si>
  <si>
    <t>Year 3</t>
  </si>
  <si>
    <t>Year 4</t>
  </si>
  <si>
    <t>Year 5</t>
  </si>
  <si>
    <t>Year 6</t>
  </si>
  <si>
    <t>Year 7</t>
  </si>
  <si>
    <t>Year 8</t>
  </si>
  <si>
    <t>Year 9</t>
  </si>
  <si>
    <t>Year 10</t>
  </si>
  <si>
    <t>Income Tax Expense (30%)</t>
  </si>
  <si>
    <t>Net Income</t>
  </si>
  <si>
    <t>Loan Amortization Table</t>
  </si>
  <si>
    <t>Loan amount (PV)</t>
  </si>
  <si>
    <t>Interest Rate</t>
  </si>
  <si>
    <t>Term</t>
  </si>
  <si>
    <t>Payment</t>
  </si>
  <si>
    <t>PVIFA</t>
  </si>
  <si>
    <t xml:space="preserve"> </t>
  </si>
  <si>
    <t>Term  (years)</t>
  </si>
  <si>
    <t>Rate</t>
  </si>
  <si>
    <t>Interest $</t>
  </si>
  <si>
    <t>Principal $</t>
  </si>
  <si>
    <t>Balance</t>
  </si>
  <si>
    <t>Cash Balance Projection</t>
  </si>
  <si>
    <t>January (31 days)</t>
  </si>
  <si>
    <t>February (28 days)</t>
  </si>
  <si>
    <t>March (31 days)</t>
  </si>
  <si>
    <t>April (30 days)</t>
  </si>
  <si>
    <t>May (31 days)</t>
  </si>
  <si>
    <t>June (30 days)</t>
  </si>
  <si>
    <t>July (31 days)</t>
  </si>
  <si>
    <t>August (31 days)</t>
  </si>
  <si>
    <t>September (30 days)</t>
  </si>
  <si>
    <t>October (31 days)</t>
  </si>
  <si>
    <t>November (30 days)</t>
  </si>
  <si>
    <t>December (31 days)</t>
  </si>
  <si>
    <t>Cash Sources &amp; Uses</t>
  </si>
  <si>
    <t>Week</t>
  </si>
  <si>
    <t>in</t>
  </si>
  <si>
    <t>out</t>
  </si>
  <si>
    <t>Date</t>
  </si>
  <si>
    <t xml:space="preserve">in </t>
  </si>
  <si>
    <t>Sales</t>
  </si>
  <si>
    <t>Expenditure</t>
  </si>
  <si>
    <t>Beginning Cash</t>
  </si>
  <si>
    <t>cash infusion</t>
  </si>
  <si>
    <t>Daily Sales</t>
  </si>
  <si>
    <t>Inventory prchs</t>
  </si>
  <si>
    <t>Week 1</t>
  </si>
  <si>
    <t>Payroll expenses</t>
  </si>
  <si>
    <t>Operating</t>
  </si>
  <si>
    <t>Week 2</t>
  </si>
  <si>
    <t>Week 3</t>
  </si>
  <si>
    <t>Repair &amp; Maint.</t>
  </si>
  <si>
    <t>Week 4</t>
  </si>
  <si>
    <t>Rent/Mortgage</t>
  </si>
  <si>
    <t>Debt Payment</t>
  </si>
  <si>
    <r>
      <rPr>
        <sz val="11"/>
        <color rgb="FF000000"/>
        <rFont val="Times New Roman"/>
        <family val="1"/>
      </rPr>
      <t xml:space="preserve">Business Projection </t>
    </r>
    <r>
      <rPr>
        <b/>
        <sz val="11"/>
        <color rgb="FF000000"/>
        <rFont val="Times New Roman"/>
        <family val="1"/>
      </rPr>
      <t>(Year)</t>
    </r>
  </si>
  <si>
    <t>Growth Rate (optional)</t>
  </si>
  <si>
    <t>**This sheet will give a lot of the data that is used in the Valuation Tab**</t>
  </si>
  <si>
    <t>Total Non-Controllable Expenses</t>
  </si>
  <si>
    <t>EBT</t>
  </si>
  <si>
    <t>Tax (30%)</t>
  </si>
  <si>
    <t>Cash Flows:</t>
  </si>
  <si>
    <t>Add Depreciation</t>
  </si>
  <si>
    <t>=Cash Flows from Operating</t>
  </si>
  <si>
    <t>-Cash Flows from Investing</t>
  </si>
  <si>
    <t>=Free Cash Flows</t>
  </si>
  <si>
    <t>-Cash Flows from Financing (Debt Services)</t>
  </si>
  <si>
    <t>=Net Cash Flows</t>
  </si>
  <si>
    <t>Present Value</t>
  </si>
  <si>
    <t>Feasibility Studies - Valuation Framework</t>
  </si>
  <si>
    <t>Total Capital needed</t>
  </si>
  <si>
    <t>Initial Investments</t>
  </si>
  <si>
    <t>Target Performance</t>
  </si>
  <si>
    <t>Tax Rate</t>
  </si>
  <si>
    <t>LT - Debt</t>
  </si>
  <si>
    <t>Net Profit</t>
  </si>
  <si>
    <t>Capital Needed</t>
  </si>
  <si>
    <t>Cost of Capital</t>
  </si>
  <si>
    <t>Capital Stack %</t>
  </si>
  <si>
    <t>Tax Effect (1 - income tax rate)</t>
  </si>
  <si>
    <t xml:space="preserve">WACC </t>
  </si>
  <si>
    <t>Debt</t>
  </si>
  <si>
    <t>WACC on Entire Invested Capital:</t>
  </si>
  <si>
    <t>Simple Scenario of the future performance of the company</t>
  </si>
  <si>
    <t>Projection</t>
  </si>
  <si>
    <t>Rev.</t>
  </si>
  <si>
    <t>ROS</t>
  </si>
  <si>
    <t>Profit $</t>
  </si>
  <si>
    <t>Depr.</t>
  </si>
  <si>
    <t>FCF</t>
  </si>
  <si>
    <t>Terminal Value</t>
  </si>
  <si>
    <t>PV</t>
  </si>
  <si>
    <t>Total Present Value of the Buisness</t>
  </si>
  <si>
    <t>minus the current amount (PV) of the Long-term Debt</t>
  </si>
  <si>
    <t>Present Value of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</si>
</sst>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0.0%"/>
    <numFmt numFmtId="165" formatCode="_(* #,##0_);_(* \(#,##0\);_(* &quot;-&quot;??_);_(@_)"/>
    <numFmt numFmtId="166" formatCode="0.0000"/>
    <numFmt numFmtId="167" formatCode="_(* #,##0.000_);_(* \(#,##0.000\);_(* &quot;-&quot;??_);_(@_)"/>
    <numFmt numFmtId="168" formatCode="_(* #,##0.0000_);_(* \(#,##0.0000\);_(* &quot;-&quot;??_);_(@_)"/>
  </numFmts>
  <fonts count="47" x14ac:knownFonts="1">
    <font>
      <sz val="11"/>
      <color theme="1"/>
      <name val="Calibri"/>
      <family val="2"/>
      <scheme val="minor"/>
    </font>
    <font>
      <sz val="11"/>
      <color theme="1"/>
      <name val="Calibri"/>
      <family val="2"/>
      <scheme val="minor"/>
    </font>
    <font>
      <sz val="7"/>
      <color theme="1"/>
      <name val="Times New Roman"/>
      <family val="1"/>
    </font>
    <font>
      <sz val="10"/>
      <name val="Arial"/>
      <family val="2"/>
    </font>
    <font>
      <b/>
      <sz val="10"/>
      <name val="Arial"/>
      <family val="2"/>
    </font>
    <font>
      <b/>
      <sz val="10"/>
      <color indexed="12"/>
      <name val="Arial"/>
      <family val="2"/>
    </font>
    <font>
      <sz val="10"/>
      <color indexed="12"/>
      <name val="Arial"/>
      <family val="2"/>
    </font>
    <font>
      <sz val="10"/>
      <color theme="1"/>
      <name val="Arial"/>
      <family val="2"/>
    </font>
    <font>
      <sz val="10"/>
      <color indexed="10"/>
      <name val="Arial"/>
      <family val="2"/>
    </font>
    <font>
      <sz val="10"/>
      <color rgb="FF0000FF"/>
      <name val="Arial"/>
      <family val="2"/>
    </font>
    <font>
      <b/>
      <sz val="10"/>
      <color rgb="FF0000FF"/>
      <name val="Arial"/>
      <family val="2"/>
    </font>
    <font>
      <b/>
      <sz val="10"/>
      <color rgb="FFC00000"/>
      <name val="Arial"/>
      <family val="2"/>
    </font>
    <font>
      <u/>
      <sz val="11"/>
      <color theme="10"/>
      <name val="Calibri"/>
      <family val="2"/>
      <scheme val="minor"/>
    </font>
    <font>
      <u/>
      <sz val="11"/>
      <color theme="11"/>
      <name val="Calibri"/>
      <family val="2"/>
      <scheme val="minor"/>
    </font>
    <font>
      <sz val="10"/>
      <color rgb="FF000000"/>
      <name val="Tahoma"/>
      <family val="2"/>
    </font>
    <font>
      <b/>
      <sz val="10"/>
      <color rgb="FF000000"/>
      <name val="Tahoma"/>
      <family val="2"/>
    </font>
    <font>
      <b/>
      <sz val="12"/>
      <color theme="1"/>
      <name val="Times New Roman"/>
      <family val="1"/>
    </font>
    <font>
      <sz val="11"/>
      <color theme="1"/>
      <name val="Times New Roman"/>
      <family val="1"/>
    </font>
    <font>
      <b/>
      <sz val="11"/>
      <color theme="1"/>
      <name val="Times New Roman"/>
      <family val="1"/>
    </font>
    <font>
      <b/>
      <sz val="11"/>
      <color rgb="FF0000FF"/>
      <name val="Times New Roman"/>
      <family val="1"/>
    </font>
    <font>
      <b/>
      <sz val="11"/>
      <color rgb="FF006600"/>
      <name val="Times New Roman"/>
      <family val="1"/>
    </font>
    <font>
      <sz val="12"/>
      <color theme="1"/>
      <name val="Times New Roman"/>
      <family val="1"/>
    </font>
    <font>
      <b/>
      <i/>
      <sz val="11"/>
      <color theme="1"/>
      <name val="Times New Roman"/>
      <family val="1"/>
    </font>
    <font>
      <b/>
      <u val="singleAccounting"/>
      <sz val="11"/>
      <color theme="1"/>
      <name val="Times New Roman"/>
      <family val="1"/>
    </font>
    <font>
      <b/>
      <sz val="10"/>
      <name val="Times New Roman"/>
      <family val="1"/>
    </font>
    <font>
      <b/>
      <sz val="20"/>
      <color rgb="FF0000FF"/>
      <name val="Times New Roman"/>
      <family val="1"/>
    </font>
    <font>
      <b/>
      <sz val="10"/>
      <color rgb="FF0000FF"/>
      <name val="Times New Roman"/>
      <family val="1"/>
    </font>
    <font>
      <b/>
      <sz val="18"/>
      <color rgb="FF0000FF"/>
      <name val="Times New Roman"/>
      <family val="1"/>
    </font>
    <font>
      <sz val="18"/>
      <name val="Times New Roman"/>
      <family val="1"/>
    </font>
    <font>
      <sz val="12"/>
      <name val="Times New Roman"/>
      <family val="1"/>
    </font>
    <font>
      <sz val="16"/>
      <name val="Times New Roman"/>
      <family val="1"/>
    </font>
    <font>
      <sz val="10"/>
      <name val="Times New Roman"/>
      <family val="1"/>
    </font>
    <font>
      <b/>
      <sz val="11"/>
      <color rgb="FFC00000"/>
      <name val="Times New Roman"/>
      <family val="1"/>
    </font>
    <font>
      <b/>
      <sz val="14"/>
      <color rgb="FF0000FF"/>
      <name val="Times New Roman"/>
      <family val="1"/>
    </font>
    <font>
      <sz val="18"/>
      <color theme="1"/>
      <name val="Times New Roman"/>
      <family val="1"/>
    </font>
    <font>
      <u/>
      <sz val="18"/>
      <color theme="10"/>
      <name val="Times New Roman"/>
      <family val="1"/>
    </font>
    <font>
      <sz val="18"/>
      <color theme="0"/>
      <name val="Times New Roman"/>
      <family val="1"/>
    </font>
    <font>
      <sz val="11"/>
      <color rgb="FFFF0000"/>
      <name val="Times New Roman"/>
      <family val="1"/>
    </font>
    <font>
      <b/>
      <sz val="12"/>
      <color rgb="FFFF0000"/>
      <name val="Times New Roman"/>
      <family val="1"/>
    </font>
    <font>
      <b/>
      <i/>
      <sz val="11"/>
      <color rgb="FFFF0000"/>
      <name val="Times New Roman"/>
      <family val="1"/>
    </font>
    <font>
      <b/>
      <u/>
      <sz val="11"/>
      <color theme="1"/>
      <name val="Times New Roman"/>
      <family val="1"/>
    </font>
    <font>
      <u val="singleAccounting"/>
      <sz val="11"/>
      <color theme="1"/>
      <name val="Times New Roman"/>
      <family val="1"/>
    </font>
    <font>
      <u val="singleAccounting"/>
      <sz val="12"/>
      <color theme="1"/>
      <name val="Times New Roman"/>
      <family val="1"/>
    </font>
    <font>
      <b/>
      <u val="singleAccounting"/>
      <sz val="12"/>
      <color theme="1"/>
      <name val="Times New Roman"/>
      <family val="1"/>
    </font>
    <font>
      <b/>
      <sz val="11"/>
      <color rgb="FF000000"/>
      <name val="Times New Roman"/>
      <family val="1"/>
    </font>
    <font>
      <sz val="11"/>
      <color rgb="FF000000"/>
      <name val="Times New Roman"/>
      <family val="1"/>
    </font>
    <font>
      <sz val="11"/>
      <color rgb="FF000000"/>
      <name val="Times New Roman"/>
      <family val="1"/>
    </font>
  </fonts>
  <fills count="43">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indexed="44"/>
        <bgColor indexed="64"/>
      </patternFill>
    </fill>
    <fill>
      <patternFill patternType="solid">
        <fgColor indexed="15"/>
        <bgColor indexed="64"/>
      </patternFill>
    </fill>
    <fill>
      <patternFill patternType="solid">
        <fgColor theme="3" tint="0.79998168889431442"/>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5"/>
        <bgColor indexed="64"/>
      </patternFill>
    </fill>
    <fill>
      <patternFill patternType="solid">
        <fgColor indexed="50"/>
        <bgColor indexed="64"/>
      </patternFill>
    </fill>
    <fill>
      <patternFill patternType="solid">
        <fgColor indexed="17"/>
        <bgColor indexed="64"/>
      </patternFill>
    </fill>
    <fill>
      <patternFill patternType="solid">
        <fgColor indexed="46"/>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rgb="FF00FFCC"/>
        <bgColor indexed="64"/>
      </patternFill>
    </fill>
    <fill>
      <patternFill patternType="solid">
        <fgColor rgb="FFFFFFCC"/>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bgColor indexed="64"/>
      </patternFill>
    </fill>
    <fill>
      <patternFill patternType="solid">
        <fgColor theme="3"/>
        <bgColor indexed="64"/>
      </patternFill>
    </fill>
    <fill>
      <patternFill patternType="solid">
        <fgColor theme="3"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99"/>
        <bgColor indexed="64"/>
      </patternFill>
    </fill>
    <fill>
      <patternFill patternType="solid">
        <fgColor rgb="FF8DB4E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indexed="64"/>
      </right>
      <top style="medium">
        <color auto="1"/>
      </top>
      <bottom/>
      <diagonal/>
    </border>
    <border>
      <left style="thin">
        <color indexed="64"/>
      </left>
      <right style="thin">
        <color indexed="64"/>
      </right>
      <top style="medium">
        <color auto="1"/>
      </top>
      <bottom/>
      <diagonal/>
    </border>
    <border>
      <left style="medium">
        <color auto="1"/>
      </left>
      <right/>
      <top/>
      <bottom style="thin">
        <color indexed="64"/>
      </bottom>
      <diagonal/>
    </border>
    <border>
      <left/>
      <right style="thin">
        <color indexed="64"/>
      </right>
      <top/>
      <bottom style="medium">
        <color auto="1"/>
      </bottom>
      <diagonal/>
    </border>
    <border>
      <left style="thin">
        <color indexed="64"/>
      </left>
      <right style="thin">
        <color indexed="64"/>
      </right>
      <top/>
      <bottom style="medium">
        <color auto="1"/>
      </bottom>
      <diagonal/>
    </border>
    <border>
      <left style="medium">
        <color auto="1"/>
      </left>
      <right/>
      <top style="medium">
        <color auto="1"/>
      </top>
      <bottom style="thin">
        <color indexed="64"/>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medium">
        <color auto="1"/>
      </left>
      <right/>
      <top style="thin">
        <color indexed="64"/>
      </top>
      <bottom/>
      <diagonal/>
    </border>
    <border>
      <left/>
      <right style="medium">
        <color auto="1"/>
      </right>
      <top style="thin">
        <color auto="1"/>
      </top>
      <bottom/>
      <diagonal/>
    </border>
    <border>
      <left style="medium">
        <color indexed="64"/>
      </left>
      <right style="thin">
        <color auto="1"/>
      </right>
      <top style="thin">
        <color auto="1"/>
      </top>
      <bottom/>
      <diagonal/>
    </border>
  </borders>
  <cellStyleXfs count="2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cellStyleXfs>
  <cellXfs count="408">
    <xf numFmtId="0" fontId="0" fillId="0" borderId="0" xfId="0"/>
    <xf numFmtId="0" fontId="4" fillId="0" borderId="0" xfId="0" applyFont="1" applyAlignment="1">
      <alignment horizontal="center"/>
    </xf>
    <xf numFmtId="0" fontId="4" fillId="18" borderId="1" xfId="0" applyFont="1" applyFill="1" applyBorder="1" applyAlignment="1">
      <alignment horizontal="right"/>
    </xf>
    <xf numFmtId="0" fontId="4" fillId="18" borderId="0" xfId="0" applyFont="1" applyFill="1" applyAlignment="1">
      <alignment horizontal="center"/>
    </xf>
    <xf numFmtId="0" fontId="4" fillId="18" borderId="20" xfId="0" applyFont="1" applyFill="1" applyBorder="1" applyAlignment="1">
      <alignment horizontal="center"/>
    </xf>
    <xf numFmtId="165" fontId="5" fillId="19" borderId="2" xfId="0" applyNumberFormat="1" applyFont="1" applyFill="1" applyBorder="1"/>
    <xf numFmtId="0" fontId="3" fillId="0" borderId="1" xfId="0" applyFont="1" applyBorder="1"/>
    <xf numFmtId="165" fontId="3" fillId="0" borderId="1" xfId="1" applyNumberFormat="1" applyFont="1" applyBorder="1"/>
    <xf numFmtId="165" fontId="6" fillId="0" borderId="1" xfId="1" applyNumberFormat="1" applyFont="1" applyBorder="1"/>
    <xf numFmtId="165" fontId="7" fillId="0" borderId="1" xfId="1" applyNumberFormat="1" applyFont="1" applyBorder="1"/>
    <xf numFmtId="165" fontId="8" fillId="0" borderId="1" xfId="1" applyNumberFormat="1" applyFont="1" applyBorder="1"/>
    <xf numFmtId="165" fontId="9" fillId="0" borderId="0" xfId="1" applyNumberFormat="1" applyFont="1"/>
    <xf numFmtId="165" fontId="10" fillId="0" borderId="24" xfId="0" applyNumberFormat="1" applyFont="1" applyBorder="1"/>
    <xf numFmtId="165" fontId="11" fillId="0" borderId="25" xfId="0" applyNumberFormat="1" applyFont="1" applyBorder="1"/>
    <xf numFmtId="165" fontId="4" fillId="21" borderId="26" xfId="1" applyNumberFormat="1" applyFont="1" applyFill="1" applyBorder="1"/>
    <xf numFmtId="165" fontId="10" fillId="0" borderId="27" xfId="0" applyNumberFormat="1" applyFont="1" applyBorder="1"/>
    <xf numFmtId="165" fontId="11" fillId="0" borderId="28" xfId="0" applyNumberFormat="1" applyFont="1" applyBorder="1"/>
    <xf numFmtId="165" fontId="4" fillId="21" borderId="29" xfId="1" applyNumberFormat="1" applyFont="1" applyFill="1" applyBorder="1"/>
    <xf numFmtId="0" fontId="7" fillId="0" borderId="0" xfId="0" applyFont="1"/>
    <xf numFmtId="0" fontId="7" fillId="0" borderId="0" xfId="0" applyFont="1" applyAlignment="1">
      <alignment horizontal="center"/>
    </xf>
    <xf numFmtId="165" fontId="7" fillId="0" borderId="1" xfId="0" applyNumberFormat="1" applyFont="1" applyBorder="1"/>
    <xf numFmtId="0" fontId="7" fillId="0" borderId="1" xfId="0" applyFont="1" applyBorder="1"/>
    <xf numFmtId="165" fontId="7" fillId="0" borderId="0" xfId="1" applyNumberFormat="1" applyFont="1"/>
    <xf numFmtId="165" fontId="7" fillId="0" borderId="19" xfId="0" applyNumberFormat="1" applyFont="1" applyBorder="1"/>
    <xf numFmtId="165" fontId="7" fillId="0" borderId="0" xfId="0" applyNumberFormat="1" applyFont="1"/>
    <xf numFmtId="0" fontId="17" fillId="0" borderId="0" xfId="0" applyFont="1"/>
    <xf numFmtId="0" fontId="18" fillId="12" borderId="1" xfId="0" applyFont="1" applyFill="1" applyBorder="1" applyAlignment="1">
      <alignment horizontal="center" vertical="center" wrapText="1"/>
    </xf>
    <xf numFmtId="0" fontId="17" fillId="0" borderId="5" xfId="0" applyFont="1" applyBorder="1"/>
    <xf numFmtId="43" fontId="19" fillId="0" borderId="5" xfId="1" applyFont="1" applyBorder="1"/>
    <xf numFmtId="164" fontId="17" fillId="36" borderId="5" xfId="2" applyNumberFormat="1" applyFont="1" applyFill="1" applyBorder="1" applyAlignment="1">
      <alignment horizontal="center"/>
    </xf>
    <xf numFmtId="164" fontId="19" fillId="0" borderId="5" xfId="2" applyNumberFormat="1" applyFont="1" applyBorder="1" applyAlignment="1">
      <alignment horizontal="center"/>
    </xf>
    <xf numFmtId="43" fontId="17" fillId="13" borderId="1" xfId="0" applyNumberFormat="1" applyFont="1" applyFill="1" applyBorder="1"/>
    <xf numFmtId="43" fontId="17" fillId="14" borderId="1" xfId="0" applyNumberFormat="1" applyFont="1" applyFill="1" applyBorder="1"/>
    <xf numFmtId="0" fontId="17" fillId="0" borderId="1" xfId="0" applyFont="1" applyBorder="1"/>
    <xf numFmtId="43" fontId="19" fillId="0" borderId="1" xfId="1" applyFont="1" applyBorder="1"/>
    <xf numFmtId="164" fontId="19" fillId="0" borderId="1" xfId="2" applyNumberFormat="1" applyFont="1" applyBorder="1" applyAlignment="1">
      <alignment horizontal="center"/>
    </xf>
    <xf numFmtId="43" fontId="18" fillId="15" borderId="1" xfId="0" applyNumberFormat="1" applyFont="1" applyFill="1" applyBorder="1"/>
    <xf numFmtId="43" fontId="18" fillId="11" borderId="1" xfId="0" applyNumberFormat="1" applyFont="1" applyFill="1" applyBorder="1"/>
    <xf numFmtId="43" fontId="18" fillId="17" borderId="1" xfId="0" applyNumberFormat="1" applyFont="1" applyFill="1" applyBorder="1"/>
    <xf numFmtId="10" fontId="17" fillId="0" borderId="0" xfId="2" applyNumberFormat="1" applyFont="1"/>
    <xf numFmtId="0" fontId="18" fillId="5" borderId="0" xfId="0" applyFont="1" applyFill="1" applyAlignment="1">
      <alignment horizontal="center"/>
    </xf>
    <xf numFmtId="0" fontId="16" fillId="0" borderId="1" xfId="0" applyFont="1" applyBorder="1"/>
    <xf numFmtId="0" fontId="16" fillId="0" borderId="1" xfId="0" applyFont="1" applyBorder="1" applyAlignment="1">
      <alignment horizontal="center"/>
    </xf>
    <xf numFmtId="0" fontId="21" fillId="0" borderId="1" xfId="0" applyFont="1" applyBorder="1" applyAlignment="1">
      <alignment horizontal="center"/>
    </xf>
    <xf numFmtId="0" fontId="21" fillId="6" borderId="6" xfId="0" applyFont="1" applyFill="1" applyBorder="1" applyAlignment="1">
      <alignment horizontal="center"/>
    </xf>
    <xf numFmtId="0" fontId="21" fillId="0" borderId="5" xfId="0" applyFont="1" applyBorder="1" applyAlignment="1">
      <alignment horizontal="center"/>
    </xf>
    <xf numFmtId="0" fontId="16" fillId="0" borderId="5" xfId="0" applyFont="1" applyBorder="1" applyAlignment="1">
      <alignment horizontal="center"/>
    </xf>
    <xf numFmtId="20" fontId="16" fillId="0" borderId="1" xfId="0" applyNumberFormat="1" applyFont="1" applyBorder="1" applyAlignment="1">
      <alignment horizontal="center"/>
    </xf>
    <xf numFmtId="0" fontId="16" fillId="7" borderId="1" xfId="0" applyFont="1" applyFill="1" applyBorder="1" applyAlignment="1">
      <alignment horizontal="center"/>
    </xf>
    <xf numFmtId="2" fontId="16" fillId="7" borderId="1" xfId="0" applyNumberFormat="1" applyFont="1" applyFill="1" applyBorder="1" applyAlignment="1">
      <alignment horizontal="center"/>
    </xf>
    <xf numFmtId="43" fontId="16" fillId="2" borderId="1" xfId="1" applyFont="1" applyFill="1" applyBorder="1"/>
    <xf numFmtId="0" fontId="16" fillId="2" borderId="1" xfId="0" applyFont="1" applyFill="1" applyBorder="1" applyAlignment="1">
      <alignment horizontal="center"/>
    </xf>
    <xf numFmtId="0" fontId="21" fillId="6" borderId="8" xfId="0" applyFont="1" applyFill="1" applyBorder="1" applyAlignment="1">
      <alignment horizontal="center"/>
    </xf>
    <xf numFmtId="0" fontId="16" fillId="10" borderId="5" xfId="0" applyFont="1" applyFill="1" applyBorder="1"/>
    <xf numFmtId="43" fontId="16" fillId="10" borderId="5" xfId="0" applyNumberFormat="1" applyFont="1" applyFill="1" applyBorder="1"/>
    <xf numFmtId="43" fontId="17" fillId="0" borderId="0" xfId="0" applyNumberFormat="1" applyFont="1"/>
    <xf numFmtId="44" fontId="17" fillId="0" borderId="0" xfId="0" applyNumberFormat="1" applyFont="1"/>
    <xf numFmtId="0" fontId="17" fillId="0" borderId="17" xfId="0" applyFont="1" applyBorder="1"/>
    <xf numFmtId="0" fontId="17" fillId="0" borderId="0" xfId="0" applyFont="1" applyAlignment="1">
      <alignment horizontal="center"/>
    </xf>
    <xf numFmtId="0" fontId="18" fillId="5" borderId="5" xfId="0" applyFont="1" applyFill="1" applyBorder="1"/>
    <xf numFmtId="44" fontId="17" fillId="0" borderId="0" xfId="3" applyFont="1"/>
    <xf numFmtId="6" fontId="17" fillId="0" borderId="0" xfId="0" applyNumberFormat="1" applyFont="1" applyAlignment="1">
      <alignment horizontal="left" vertical="center" indent="4"/>
    </xf>
    <xf numFmtId="0" fontId="17" fillId="0" borderId="0" xfId="0" applyFont="1" applyAlignment="1">
      <alignment horizontal="left" vertical="center" indent="4"/>
    </xf>
    <xf numFmtId="44" fontId="17" fillId="0" borderId="1" xfId="3" applyFont="1" applyBorder="1"/>
    <xf numFmtId="164" fontId="17" fillId="0" borderId="0" xfId="2" applyNumberFormat="1" applyFont="1"/>
    <xf numFmtId="0" fontId="18" fillId="0" borderId="0" xfId="0" applyFont="1"/>
    <xf numFmtId="0" fontId="18" fillId="0" borderId="14" xfId="0" applyFont="1" applyBorder="1" applyAlignment="1">
      <alignment vertical="center"/>
    </xf>
    <xf numFmtId="0" fontId="17" fillId="0" borderId="14" xfId="0" applyFont="1" applyBorder="1"/>
    <xf numFmtId="165" fontId="16" fillId="0" borderId="0" xfId="1" applyNumberFormat="1" applyFont="1" applyBorder="1"/>
    <xf numFmtId="0" fontId="24" fillId="23" borderId="5" xfId="0" applyFont="1" applyFill="1" applyBorder="1" applyAlignment="1">
      <alignment horizontal="center" vertical="center" wrapText="1"/>
    </xf>
    <xf numFmtId="165" fontId="25" fillId="23" borderId="5" xfId="1" applyNumberFormat="1" applyFont="1" applyFill="1" applyBorder="1" applyAlignment="1">
      <alignment vertical="center"/>
    </xf>
    <xf numFmtId="0" fontId="24" fillId="24" borderId="5" xfId="0" applyFont="1" applyFill="1" applyBorder="1" applyAlignment="1">
      <alignment horizontal="center" vertical="center" wrapText="1"/>
    </xf>
    <xf numFmtId="10" fontId="25" fillId="24" borderId="5" xfId="2" applyNumberFormat="1" applyFont="1" applyFill="1" applyBorder="1" applyAlignment="1">
      <alignment horizontal="center" vertical="center"/>
    </xf>
    <xf numFmtId="0" fontId="24" fillId="25" borderId="5" xfId="0" applyFont="1" applyFill="1" applyBorder="1" applyAlignment="1">
      <alignment horizontal="center" vertical="center"/>
    </xf>
    <xf numFmtId="0" fontId="25" fillId="25" borderId="5" xfId="0" applyFont="1" applyFill="1" applyBorder="1" applyAlignment="1">
      <alignment horizontal="center" vertical="center"/>
    </xf>
    <xf numFmtId="0" fontId="26" fillId="18" borderId="1" xfId="0" applyFont="1" applyFill="1" applyBorder="1" applyAlignment="1">
      <alignment horizontal="center" vertical="center"/>
    </xf>
    <xf numFmtId="44" fontId="27" fillId="18" borderId="1" xfId="3" applyFont="1" applyFill="1" applyBorder="1" applyAlignment="1">
      <alignment horizontal="center" vertical="center"/>
    </xf>
    <xf numFmtId="0" fontId="17" fillId="26" borderId="0" xfId="0" applyFont="1" applyFill="1"/>
    <xf numFmtId="0" fontId="24" fillId="23" borderId="1" xfId="0" applyFont="1" applyFill="1" applyBorder="1" applyAlignment="1">
      <alignment horizontal="center" vertical="center" wrapText="1"/>
    </xf>
    <xf numFmtId="0" fontId="24" fillId="23" borderId="1" xfId="0" applyFont="1" applyFill="1" applyBorder="1" applyAlignment="1">
      <alignment horizontal="center" vertical="center"/>
    </xf>
    <xf numFmtId="165" fontId="17" fillId="0" borderId="0" xfId="0" applyNumberFormat="1" applyFont="1"/>
    <xf numFmtId="0" fontId="17" fillId="0" borderId="1" xfId="0" applyFont="1" applyBorder="1" applyAlignment="1">
      <alignment horizontal="center"/>
    </xf>
    <xf numFmtId="0" fontId="17" fillId="27" borderId="1" xfId="0" applyFont="1" applyFill="1" applyBorder="1" applyAlignment="1">
      <alignment horizontal="center"/>
    </xf>
    <xf numFmtId="165" fontId="30" fillId="27" borderId="1" xfId="0" applyNumberFormat="1" applyFont="1" applyFill="1" applyBorder="1"/>
    <xf numFmtId="10" fontId="17" fillId="27" borderId="1" xfId="2" applyNumberFormat="1" applyFont="1" applyFill="1" applyBorder="1"/>
    <xf numFmtId="0" fontId="31" fillId="0" borderId="0" xfId="0" applyFont="1" applyAlignment="1">
      <alignment horizontal="center"/>
    </xf>
    <xf numFmtId="10" fontId="31" fillId="0" borderId="0" xfId="2" applyNumberFormat="1" applyFont="1"/>
    <xf numFmtId="0" fontId="18" fillId="0" borderId="0" xfId="0" applyFont="1" applyAlignment="1">
      <alignment horizontal="center" vertical="center"/>
    </xf>
    <xf numFmtId="0" fontId="17" fillId="8" borderId="0" xfId="0" applyFont="1" applyFill="1" applyAlignment="1">
      <alignment horizontal="center" vertical="center" wrapText="1"/>
    </xf>
    <xf numFmtId="0" fontId="17" fillId="8" borderId="0" xfId="0" applyFont="1" applyFill="1" applyAlignment="1">
      <alignment horizontal="center"/>
    </xf>
    <xf numFmtId="0" fontId="17" fillId="0" borderId="1" xfId="0" applyFont="1" applyBorder="1" applyAlignment="1">
      <alignment horizontal="center" vertical="center" wrapText="1"/>
    </xf>
    <xf numFmtId="0" fontId="18" fillId="3" borderId="1" xfId="0" applyFont="1" applyFill="1" applyBorder="1" applyAlignment="1">
      <alignment horizontal="center" vertical="center" wrapText="1"/>
    </xf>
    <xf numFmtId="165" fontId="18" fillId="14" borderId="1" xfId="1" applyNumberFormat="1" applyFont="1" applyFill="1" applyBorder="1" applyAlignment="1">
      <alignment horizontal="center"/>
    </xf>
    <xf numFmtId="0" fontId="16" fillId="3" borderId="1" xfId="0" applyFont="1" applyFill="1" applyBorder="1" applyAlignment="1">
      <alignment horizontal="center" vertical="center" wrapText="1"/>
    </xf>
    <xf numFmtId="0" fontId="17" fillId="0" borderId="1" xfId="0" quotePrefix="1" applyFont="1" applyBorder="1" applyAlignment="1">
      <alignment horizontal="center" vertical="center" wrapText="1"/>
    </xf>
    <xf numFmtId="165" fontId="17" fillId="0" borderId="1" xfId="0" applyNumberFormat="1" applyFont="1" applyBorder="1"/>
    <xf numFmtId="0" fontId="18" fillId="28" borderId="17" xfId="0" quotePrefix="1" applyFont="1" applyFill="1" applyBorder="1" applyAlignment="1">
      <alignment horizontal="center" vertical="center" wrapText="1"/>
    </xf>
    <xf numFmtId="0" fontId="18" fillId="8" borderId="0" xfId="0" applyFont="1" applyFill="1"/>
    <xf numFmtId="0" fontId="18" fillId="29" borderId="17" xfId="0" quotePrefix="1" applyFont="1" applyFill="1" applyBorder="1" applyAlignment="1">
      <alignment horizontal="center" vertical="center" wrapText="1"/>
    </xf>
    <xf numFmtId="0" fontId="18" fillId="0" borderId="1" xfId="0" applyFont="1" applyBorder="1" applyAlignment="1">
      <alignment horizontal="center" vertical="center" wrapText="1"/>
    </xf>
    <xf numFmtId="0" fontId="18" fillId="6" borderId="5" xfId="0" applyFont="1" applyFill="1" applyBorder="1" applyAlignment="1">
      <alignment horizontal="center"/>
    </xf>
    <xf numFmtId="165" fontId="18" fillId="6" borderId="5" xfId="1" applyNumberFormat="1" applyFont="1" applyFill="1" applyBorder="1" applyAlignment="1">
      <alignment horizontal="center"/>
    </xf>
    <xf numFmtId="168" fontId="17" fillId="0" borderId="0" xfId="1" applyNumberFormat="1" applyFont="1"/>
    <xf numFmtId="0" fontId="17" fillId="8" borderId="0" xfId="0" applyFont="1" applyFill="1"/>
    <xf numFmtId="10" fontId="18" fillId="8" borderId="0" xfId="2" applyNumberFormat="1" applyFont="1" applyFill="1"/>
    <xf numFmtId="168" fontId="17" fillId="8" borderId="0" xfId="1" applyNumberFormat="1" applyFont="1" applyFill="1"/>
    <xf numFmtId="165" fontId="17" fillId="8" borderId="0" xfId="0" applyNumberFormat="1" applyFont="1" applyFill="1"/>
    <xf numFmtId="0" fontId="18" fillId="32" borderId="1" xfId="0" applyFont="1" applyFill="1" applyBorder="1" applyAlignment="1">
      <alignment horizontal="center" vertical="center" wrapText="1"/>
    </xf>
    <xf numFmtId="0" fontId="18" fillId="32" borderId="2" xfId="0" applyFont="1" applyFill="1" applyBorder="1" applyAlignment="1">
      <alignment horizontal="center" vertical="center" wrapText="1"/>
    </xf>
    <xf numFmtId="164" fontId="19" fillId="33" borderId="1" xfId="2" applyNumberFormat="1" applyFont="1" applyFill="1" applyBorder="1" applyAlignment="1">
      <alignment horizontal="center"/>
    </xf>
    <xf numFmtId="165" fontId="18" fillId="34" borderId="1" xfId="0" applyNumberFormat="1" applyFont="1" applyFill="1" applyBorder="1"/>
    <xf numFmtId="165" fontId="18" fillId="35" borderId="1" xfId="0" applyNumberFormat="1" applyFont="1" applyFill="1" applyBorder="1"/>
    <xf numFmtId="165" fontId="17" fillId="28" borderId="1" xfId="0" applyNumberFormat="1" applyFont="1" applyFill="1" applyBorder="1"/>
    <xf numFmtId="0" fontId="34" fillId="0" borderId="0" xfId="0" applyFont="1"/>
    <xf numFmtId="0" fontId="35" fillId="0" borderId="0" xfId="22" applyFont="1" applyBorder="1"/>
    <xf numFmtId="0" fontId="34" fillId="0" borderId="0" xfId="0" applyFont="1" applyAlignment="1">
      <alignment horizontal="center" vertical="center"/>
    </xf>
    <xf numFmtId="0" fontId="16" fillId="16" borderId="1" xfId="0" applyFont="1" applyFill="1" applyBorder="1" applyAlignment="1">
      <alignment horizontal="center"/>
    </xf>
    <xf numFmtId="43" fontId="29" fillId="2" borderId="1" xfId="0" applyNumberFormat="1" applyFont="1" applyFill="1" applyBorder="1"/>
    <xf numFmtId="167" fontId="29" fillId="2" borderId="1" xfId="0" applyNumberFormat="1" applyFont="1" applyFill="1" applyBorder="1"/>
    <xf numFmtId="10" fontId="18" fillId="2" borderId="1" xfId="2" applyNumberFormat="1" applyFont="1" applyFill="1" applyBorder="1"/>
    <xf numFmtId="0" fontId="18" fillId="0" borderId="0" xfId="0" applyFont="1" applyAlignment="1">
      <alignment horizontal="center"/>
    </xf>
    <xf numFmtId="0" fontId="16" fillId="6" borderId="1" xfId="0" applyFont="1" applyFill="1" applyBorder="1" applyAlignment="1">
      <alignment horizontal="center" vertical="center"/>
    </xf>
    <xf numFmtId="10" fontId="16" fillId="0" borderId="0" xfId="2" applyNumberFormat="1" applyFont="1" applyFill="1" applyBorder="1"/>
    <xf numFmtId="0" fontId="16" fillId="7" borderId="5" xfId="0" applyFont="1" applyFill="1" applyBorder="1" applyAlignment="1">
      <alignment horizontal="center"/>
    </xf>
    <xf numFmtId="0" fontId="37" fillId="0" borderId="0" xfId="0" applyFont="1"/>
    <xf numFmtId="0" fontId="38" fillId="7" borderId="1" xfId="0" applyFont="1" applyFill="1" applyBorder="1" applyAlignment="1">
      <alignment horizontal="center"/>
    </xf>
    <xf numFmtId="0" fontId="17" fillId="39" borderId="9" xfId="0" applyFont="1" applyFill="1" applyBorder="1"/>
    <xf numFmtId="0" fontId="18" fillId="39" borderId="30" xfId="0" applyFont="1" applyFill="1" applyBorder="1" applyAlignment="1">
      <alignment horizontal="center"/>
    </xf>
    <xf numFmtId="0" fontId="18" fillId="39" borderId="31" xfId="0" applyFont="1" applyFill="1" applyBorder="1" applyAlignment="1">
      <alignment horizontal="center"/>
    </xf>
    <xf numFmtId="0" fontId="18" fillId="39" borderId="10" xfId="0" applyFont="1" applyFill="1" applyBorder="1" applyAlignment="1">
      <alignment horizontal="center"/>
    </xf>
    <xf numFmtId="0" fontId="18" fillId="39" borderId="11" xfId="0" applyFont="1" applyFill="1" applyBorder="1" applyAlignment="1">
      <alignment horizontal="center"/>
    </xf>
    <xf numFmtId="0" fontId="22" fillId="29" borderId="12" xfId="0" applyFont="1" applyFill="1" applyBorder="1"/>
    <xf numFmtId="0" fontId="17" fillId="29" borderId="19" xfId="0" applyFont="1" applyFill="1" applyBorder="1" applyAlignment="1">
      <alignment horizontal="center"/>
    </xf>
    <xf numFmtId="0" fontId="17" fillId="29" borderId="6" xfId="0" applyFont="1" applyFill="1" applyBorder="1" applyAlignment="1">
      <alignment horizontal="center"/>
    </xf>
    <xf numFmtId="0" fontId="17" fillId="29" borderId="13" xfId="0" applyFont="1" applyFill="1" applyBorder="1" applyAlignment="1">
      <alignment horizontal="center"/>
    </xf>
    <xf numFmtId="0" fontId="17" fillId="0" borderId="12" xfId="0" applyFont="1" applyBorder="1" applyAlignment="1">
      <alignment horizontal="left" vertical="top" indent="1"/>
    </xf>
    <xf numFmtId="44" fontId="17" fillId="0" borderId="19" xfId="3" applyFont="1" applyFill="1" applyBorder="1" applyAlignment="1">
      <alignment horizontal="center"/>
    </xf>
    <xf numFmtId="44" fontId="17" fillId="29" borderId="6" xfId="3" applyFont="1" applyFill="1" applyBorder="1" applyAlignment="1">
      <alignment horizontal="center"/>
    </xf>
    <xf numFmtId="44" fontId="17" fillId="29" borderId="13" xfId="3" applyFont="1" applyFill="1" applyBorder="1" applyAlignment="1">
      <alignment horizontal="center"/>
    </xf>
    <xf numFmtId="44" fontId="17" fillId="29" borderId="19" xfId="3" applyFont="1" applyFill="1" applyBorder="1" applyAlignment="1">
      <alignment horizontal="center"/>
    </xf>
    <xf numFmtId="0" fontId="22" fillId="30" borderId="12" xfId="0" applyFont="1" applyFill="1" applyBorder="1" applyAlignment="1">
      <alignment horizontal="left" vertical="top"/>
    </xf>
    <xf numFmtId="44" fontId="17" fillId="30" borderId="19" xfId="3" applyFont="1" applyFill="1" applyBorder="1" applyAlignment="1">
      <alignment horizontal="center"/>
    </xf>
    <xf numFmtId="44" fontId="17" fillId="30" borderId="6" xfId="3" applyFont="1" applyFill="1" applyBorder="1" applyAlignment="1">
      <alignment horizontal="center"/>
    </xf>
    <xf numFmtId="0" fontId="17" fillId="30" borderId="6" xfId="0" applyFont="1" applyFill="1" applyBorder="1" applyAlignment="1">
      <alignment horizontal="center"/>
    </xf>
    <xf numFmtId="44" fontId="17" fillId="30" borderId="13" xfId="3" applyFont="1" applyFill="1" applyBorder="1" applyAlignment="1">
      <alignment horizontal="center"/>
    </xf>
    <xf numFmtId="0" fontId="17" fillId="0" borderId="6" xfId="0" applyFont="1" applyBorder="1" applyAlignment="1">
      <alignment horizontal="center"/>
    </xf>
    <xf numFmtId="44" fontId="17" fillId="0" borderId="13" xfId="3" applyFont="1" applyFill="1" applyBorder="1" applyAlignment="1">
      <alignment horizontal="center"/>
    </xf>
    <xf numFmtId="0" fontId="22" fillId="30" borderId="16" xfId="0" applyFont="1" applyFill="1" applyBorder="1" applyAlignment="1">
      <alignment horizontal="right" indent="1"/>
    </xf>
    <xf numFmtId="44" fontId="17" fillId="30" borderId="33" xfId="0" applyNumberFormat="1" applyFont="1" applyFill="1" applyBorder="1"/>
    <xf numFmtId="44" fontId="17" fillId="30" borderId="34" xfId="3" applyFont="1" applyFill="1" applyBorder="1" applyAlignment="1">
      <alignment horizontal="center"/>
    </xf>
    <xf numFmtId="0" fontId="17" fillId="30" borderId="34" xfId="0" applyFont="1" applyFill="1" applyBorder="1"/>
    <xf numFmtId="0" fontId="17" fillId="30" borderId="18" xfId="0" applyFont="1" applyFill="1" applyBorder="1" applyAlignment="1">
      <alignment horizontal="center"/>
    </xf>
    <xf numFmtId="0" fontId="22" fillId="5" borderId="16" xfId="0" applyFont="1" applyFill="1" applyBorder="1" applyAlignment="1">
      <alignment horizontal="right" indent="1"/>
    </xf>
    <xf numFmtId="44" fontId="17" fillId="5" borderId="33" xfId="0" applyNumberFormat="1" applyFont="1" applyFill="1" applyBorder="1"/>
    <xf numFmtId="0" fontId="17" fillId="5" borderId="34" xfId="0" applyFont="1" applyFill="1" applyBorder="1"/>
    <xf numFmtId="0" fontId="17" fillId="5" borderId="18" xfId="0" applyFont="1" applyFill="1" applyBorder="1" applyAlignment="1">
      <alignment horizontal="center"/>
    </xf>
    <xf numFmtId="0" fontId="18" fillId="7" borderId="35" xfId="0" applyFont="1" applyFill="1" applyBorder="1" applyAlignment="1">
      <alignment vertical="center"/>
    </xf>
    <xf numFmtId="44" fontId="17" fillId="7" borderId="36" xfId="3" applyFont="1" applyFill="1" applyBorder="1"/>
    <xf numFmtId="0" fontId="17" fillId="7" borderId="37" xfId="0" applyFont="1" applyFill="1" applyBorder="1"/>
    <xf numFmtId="0" fontId="17" fillId="7" borderId="12" xfId="0" applyFont="1" applyFill="1" applyBorder="1" applyAlignment="1">
      <alignment horizontal="left" vertical="center" indent="1"/>
    </xf>
    <xf numFmtId="44" fontId="17" fillId="7" borderId="0" xfId="3" applyFont="1" applyFill="1" applyBorder="1"/>
    <xf numFmtId="0" fontId="17" fillId="7" borderId="13" xfId="0" applyFont="1" applyFill="1" applyBorder="1"/>
    <xf numFmtId="0" fontId="17" fillId="7" borderId="16" xfId="0" applyFont="1" applyFill="1" applyBorder="1" applyAlignment="1">
      <alignment horizontal="left" vertical="center" indent="1"/>
    </xf>
    <xf numFmtId="44" fontId="17" fillId="7" borderId="17" xfId="3" applyFont="1" applyFill="1" applyBorder="1"/>
    <xf numFmtId="44" fontId="23" fillId="7" borderId="18" xfId="0" applyNumberFormat="1" applyFont="1" applyFill="1" applyBorder="1"/>
    <xf numFmtId="0" fontId="18" fillId="0" borderId="35" xfId="0" applyFont="1" applyBorder="1" applyAlignment="1">
      <alignment vertical="center"/>
    </xf>
    <xf numFmtId="44" fontId="17" fillId="0" borderId="36" xfId="3" applyFont="1" applyBorder="1"/>
    <xf numFmtId="0" fontId="17" fillId="0" borderId="37" xfId="0" applyFont="1" applyBorder="1"/>
    <xf numFmtId="0" fontId="17" fillId="0" borderId="12" xfId="0" applyFont="1" applyBorder="1" applyAlignment="1">
      <alignment horizontal="left" vertical="center" indent="1"/>
    </xf>
    <xf numFmtId="44" fontId="17" fillId="0" borderId="0" xfId="3" applyFont="1" applyBorder="1"/>
    <xf numFmtId="0" fontId="17" fillId="0" borderId="13" xfId="0" applyFont="1" applyBorder="1"/>
    <xf numFmtId="6" fontId="17" fillId="0" borderId="13" xfId="0" applyNumberFormat="1" applyFont="1" applyBorder="1" applyAlignment="1">
      <alignment horizontal="left" vertical="center" indent="4"/>
    </xf>
    <xf numFmtId="0" fontId="17" fillId="0" borderId="16" xfId="0" applyFont="1" applyBorder="1" applyAlignment="1">
      <alignment horizontal="left" vertical="center" indent="1"/>
    </xf>
    <xf numFmtId="44" fontId="17" fillId="0" borderId="17" xfId="3" applyFont="1" applyBorder="1"/>
    <xf numFmtId="44" fontId="18" fillId="7" borderId="18" xfId="0" applyNumberFormat="1" applyFont="1" applyFill="1" applyBorder="1"/>
    <xf numFmtId="0" fontId="17" fillId="0" borderId="12" xfId="0" applyFont="1" applyBorder="1" applyAlignment="1">
      <alignment horizontal="left" vertical="center" indent="2"/>
    </xf>
    <xf numFmtId="0" fontId="17" fillId="0" borderId="12" xfId="0" applyFont="1" applyBorder="1" applyAlignment="1">
      <alignment horizontal="left" vertical="center" indent="4"/>
    </xf>
    <xf numFmtId="0" fontId="17" fillId="0" borderId="12" xfId="0" applyFont="1" applyBorder="1"/>
    <xf numFmtId="0" fontId="17" fillId="0" borderId="16" xfId="0" applyFont="1" applyBorder="1"/>
    <xf numFmtId="44" fontId="23" fillId="0" borderId="18" xfId="0" applyNumberFormat="1" applyFont="1" applyBorder="1"/>
    <xf numFmtId="0" fontId="17" fillId="7" borderId="38" xfId="0" applyFont="1" applyFill="1" applyBorder="1"/>
    <xf numFmtId="44" fontId="17" fillId="7" borderId="39" xfId="3" applyFont="1" applyFill="1" applyBorder="1"/>
    <xf numFmtId="0" fontId="18" fillId="0" borderId="40" xfId="0" applyFont="1" applyBorder="1"/>
    <xf numFmtId="44" fontId="17" fillId="0" borderId="41" xfId="3" applyFont="1" applyBorder="1"/>
    <xf numFmtId="0" fontId="17" fillId="0" borderId="42" xfId="0" applyFont="1" applyBorder="1"/>
    <xf numFmtId="44" fontId="17" fillId="7" borderId="43" xfId="3" applyFont="1" applyFill="1" applyBorder="1"/>
    <xf numFmtId="44" fontId="17" fillId="0" borderId="43" xfId="3" applyFont="1" applyBorder="1"/>
    <xf numFmtId="0" fontId="17" fillId="0" borderId="42" xfId="0" applyFont="1" applyBorder="1" applyAlignment="1">
      <alignment horizontal="left" indent="1"/>
    </xf>
    <xf numFmtId="0" fontId="17" fillId="0" borderId="44" xfId="0" applyFont="1" applyBorder="1" applyAlignment="1">
      <alignment horizontal="left" indent="1"/>
    </xf>
    <xf numFmtId="0" fontId="17" fillId="0" borderId="0" xfId="0" applyFont="1" applyAlignment="1">
      <alignment horizontal="center" vertical="top"/>
    </xf>
    <xf numFmtId="0" fontId="39" fillId="0" borderId="0" xfId="0" applyFont="1" applyAlignment="1">
      <alignment horizontal="left" vertical="top"/>
    </xf>
    <xf numFmtId="0" fontId="17" fillId="0" borderId="38" xfId="0" applyFont="1" applyBorder="1"/>
    <xf numFmtId="0" fontId="17" fillId="0" borderId="45" xfId="0" applyFont="1" applyBorder="1"/>
    <xf numFmtId="44" fontId="18" fillId="0" borderId="46" xfId="3" applyFont="1" applyBorder="1" applyAlignment="1">
      <alignment horizontal="center"/>
    </xf>
    <xf numFmtId="0" fontId="18" fillId="0" borderId="39" xfId="0" applyFont="1" applyBorder="1" applyAlignment="1">
      <alignment horizontal="center" vertical="top"/>
    </xf>
    <xf numFmtId="0" fontId="18" fillId="0" borderId="12" xfId="0" applyFont="1" applyBorder="1"/>
    <xf numFmtId="44" fontId="18" fillId="7" borderId="0" xfId="3" applyFont="1" applyFill="1" applyBorder="1" applyAlignment="1">
      <alignment horizontal="center"/>
    </xf>
    <xf numFmtId="10" fontId="17" fillId="7" borderId="13" xfId="2" applyNumberFormat="1" applyFont="1" applyFill="1" applyBorder="1" applyAlignment="1">
      <alignment horizontal="center" vertical="top"/>
    </xf>
    <xf numFmtId="44" fontId="18" fillId="0" borderId="0" xfId="3" applyFont="1" applyBorder="1"/>
    <xf numFmtId="10" fontId="17" fillId="0" borderId="13" xfId="2" applyNumberFormat="1" applyFont="1" applyBorder="1" applyAlignment="1">
      <alignment horizontal="center" vertical="top"/>
    </xf>
    <xf numFmtId="44" fontId="18" fillId="7" borderId="0" xfId="3" applyFont="1" applyFill="1" applyBorder="1"/>
    <xf numFmtId="164" fontId="17" fillId="7" borderId="13" xfId="2" applyNumberFormat="1" applyFont="1" applyFill="1" applyBorder="1" applyAlignment="1">
      <alignment horizontal="center" vertical="top"/>
    </xf>
    <xf numFmtId="164" fontId="17" fillId="0" borderId="13" xfId="2" applyNumberFormat="1" applyFont="1" applyBorder="1" applyAlignment="1">
      <alignment horizontal="center" vertical="top"/>
    </xf>
    <xf numFmtId="0" fontId="40" fillId="0" borderId="12" xfId="0" applyFont="1" applyBorder="1"/>
    <xf numFmtId="0" fontId="17" fillId="0" borderId="12" xfId="0" applyFont="1" applyBorder="1" applyAlignment="1">
      <alignment horizontal="left" vertical="top" indent="2"/>
    </xf>
    <xf numFmtId="44" fontId="17" fillId="7" borderId="0" xfId="3" applyFont="1" applyFill="1" applyBorder="1" applyAlignment="1">
      <alignment horizontal="right"/>
    </xf>
    <xf numFmtId="0" fontId="18" fillId="0" borderId="12" xfId="0" applyFont="1" applyBorder="1" applyAlignment="1">
      <alignment horizontal="left" vertical="top" indent="3"/>
    </xf>
    <xf numFmtId="44" fontId="23" fillId="7" borderId="0" xfId="3" applyFont="1" applyFill="1" applyBorder="1"/>
    <xf numFmtId="44" fontId="23" fillId="0" borderId="0" xfId="3" applyFont="1" applyBorder="1"/>
    <xf numFmtId="0" fontId="18" fillId="0" borderId="32" xfId="0" applyFont="1" applyBorder="1" applyAlignment="1">
      <alignment horizontal="left" vertical="top"/>
    </xf>
    <xf numFmtId="44" fontId="18" fillId="7" borderId="14" xfId="0" applyNumberFormat="1" applyFont="1" applyFill="1" applyBorder="1"/>
    <xf numFmtId="164" fontId="17" fillId="7" borderId="15" xfId="2" applyNumberFormat="1" applyFont="1" applyFill="1" applyBorder="1" applyAlignment="1">
      <alignment horizontal="center" vertical="top"/>
    </xf>
    <xf numFmtId="0" fontId="18" fillId="0" borderId="12" xfId="0" applyFont="1" applyBorder="1" applyAlignment="1">
      <alignment horizontal="left" vertical="top"/>
    </xf>
    <xf numFmtId="44" fontId="18" fillId="0" borderId="0" xfId="0" applyNumberFormat="1" applyFont="1"/>
    <xf numFmtId="0" fontId="40" fillId="0" borderId="12" xfId="0" applyFont="1" applyBorder="1" applyAlignment="1">
      <alignment horizontal="left" indent="1"/>
    </xf>
    <xf numFmtId="0" fontId="17" fillId="0" borderId="13" xfId="0" applyFont="1" applyBorder="1" applyAlignment="1">
      <alignment horizontal="center" vertical="top"/>
    </xf>
    <xf numFmtId="0" fontId="17" fillId="0" borderId="12" xfId="0" applyFont="1" applyBorder="1" applyAlignment="1">
      <alignment horizontal="left" indent="2"/>
    </xf>
    <xf numFmtId="44" fontId="41" fillId="0" borderId="0" xfId="3" applyFont="1" applyBorder="1"/>
    <xf numFmtId="0" fontId="18" fillId="0" borderId="12" xfId="0" applyFont="1" applyBorder="1" applyAlignment="1">
      <alignment horizontal="left" indent="3"/>
    </xf>
    <xf numFmtId="44" fontId="18" fillId="0" borderId="0" xfId="3" applyFont="1" applyFill="1" applyBorder="1"/>
    <xf numFmtId="44" fontId="17" fillId="0" borderId="14" xfId="3" applyFont="1" applyBorder="1"/>
    <xf numFmtId="44" fontId="17" fillId="0" borderId="13" xfId="3" applyFont="1" applyBorder="1" applyAlignment="1">
      <alignment horizontal="center" vertical="top"/>
    </xf>
    <xf numFmtId="0" fontId="18" fillId="0" borderId="12" xfId="0" applyFont="1" applyBorder="1" applyAlignment="1">
      <alignment horizontal="left" vertical="center" indent="3"/>
    </xf>
    <xf numFmtId="0" fontId="18" fillId="0" borderId="12" xfId="0" applyFont="1" applyBorder="1" applyAlignment="1">
      <alignment horizontal="left" indent="4"/>
    </xf>
    <xf numFmtId="44" fontId="23" fillId="0" borderId="0" xfId="3" applyFont="1" applyFill="1" applyBorder="1"/>
    <xf numFmtId="0" fontId="18" fillId="0" borderId="12" xfId="0" applyFont="1" applyBorder="1" applyAlignment="1">
      <alignment horizontal="left"/>
    </xf>
    <xf numFmtId="44" fontId="17" fillId="7" borderId="0" xfId="0" applyNumberFormat="1" applyFont="1" applyFill="1"/>
    <xf numFmtId="44" fontId="41" fillId="7" borderId="0" xfId="0" applyNumberFormat="1" applyFont="1" applyFill="1"/>
    <xf numFmtId="44" fontId="18" fillId="7" borderId="0" xfId="0" applyNumberFormat="1" applyFont="1" applyFill="1" applyAlignment="1">
      <alignment horizontal="center" vertical="top"/>
    </xf>
    <xf numFmtId="44" fontId="17" fillId="0" borderId="13" xfId="3" applyFont="1" applyBorder="1"/>
    <xf numFmtId="0" fontId="18" fillId="0" borderId="16" xfId="0" applyFont="1" applyBorder="1"/>
    <xf numFmtId="44" fontId="18" fillId="7" borderId="17" xfId="0" applyNumberFormat="1" applyFont="1" applyFill="1" applyBorder="1" applyAlignment="1">
      <alignment horizontal="center" vertical="top"/>
    </xf>
    <xf numFmtId="164" fontId="17" fillId="7" borderId="18" xfId="2" applyNumberFormat="1" applyFont="1" applyFill="1" applyBorder="1" applyAlignment="1">
      <alignment horizontal="center" vertical="center"/>
    </xf>
    <xf numFmtId="44" fontId="18" fillId="7" borderId="13" xfId="0" applyNumberFormat="1" applyFont="1" applyFill="1" applyBorder="1"/>
    <xf numFmtId="0" fontId="16" fillId="14" borderId="3" xfId="0" applyFont="1" applyFill="1" applyBorder="1" applyAlignment="1">
      <alignment vertical="center"/>
    </xf>
    <xf numFmtId="0" fontId="16" fillId="14" borderId="7" xfId="0" applyFont="1" applyFill="1" applyBorder="1" applyAlignment="1">
      <alignment vertical="center"/>
    </xf>
    <xf numFmtId="0" fontId="16" fillId="14" borderId="4" xfId="0" applyFont="1" applyFill="1" applyBorder="1" applyAlignment="1">
      <alignment vertical="center"/>
    </xf>
    <xf numFmtId="0" fontId="16" fillId="6" borderId="3" xfId="0" applyFont="1" applyFill="1" applyBorder="1" applyAlignment="1">
      <alignment vertical="center"/>
    </xf>
    <xf numFmtId="0" fontId="16" fillId="8" borderId="7" xfId="0" applyFont="1" applyFill="1" applyBorder="1"/>
    <xf numFmtId="44" fontId="21" fillId="8" borderId="1" xfId="3" applyFont="1" applyFill="1" applyBorder="1"/>
    <xf numFmtId="44" fontId="16" fillId="8" borderId="1" xfId="3" applyFont="1" applyFill="1" applyBorder="1"/>
    <xf numFmtId="0" fontId="16" fillId="5" borderId="7" xfId="0" applyFont="1" applyFill="1" applyBorder="1"/>
    <xf numFmtId="43" fontId="21" fillId="5" borderId="1" xfId="1" applyFont="1" applyFill="1" applyBorder="1"/>
    <xf numFmtId="43" fontId="16" fillId="5" borderId="1" xfId="1" applyFont="1" applyFill="1" applyBorder="1"/>
    <xf numFmtId="0" fontId="16" fillId="5" borderId="3" xfId="0" applyFont="1" applyFill="1" applyBorder="1" applyAlignment="1">
      <alignment horizontal="left"/>
    </xf>
    <xf numFmtId="0" fontId="16" fillId="5" borderId="4" xfId="0" applyFont="1" applyFill="1" applyBorder="1"/>
    <xf numFmtId="0" fontId="16" fillId="40" borderId="0" xfId="0" applyFont="1" applyFill="1"/>
    <xf numFmtId="43" fontId="16" fillId="40" borderId="1" xfId="1" applyFont="1" applyFill="1" applyBorder="1"/>
    <xf numFmtId="43" fontId="16" fillId="40" borderId="4" xfId="1" applyFont="1" applyFill="1" applyBorder="1"/>
    <xf numFmtId="43" fontId="16" fillId="40" borderId="0" xfId="1" applyFont="1" applyFill="1" applyBorder="1"/>
    <xf numFmtId="0" fontId="16" fillId="40" borderId="1" xfId="0" applyFont="1" applyFill="1" applyBorder="1" applyAlignment="1">
      <alignment horizontal="left" indent="1"/>
    </xf>
    <xf numFmtId="43" fontId="21" fillId="40" borderId="1" xfId="1" applyFont="1" applyFill="1" applyBorder="1"/>
    <xf numFmtId="0" fontId="16" fillId="40" borderId="3" xfId="0" applyFont="1" applyFill="1" applyBorder="1" applyAlignment="1">
      <alignment horizontal="left" indent="1"/>
    </xf>
    <xf numFmtId="0" fontId="16" fillId="40" borderId="3" xfId="0" applyFont="1" applyFill="1" applyBorder="1" applyAlignment="1">
      <alignment horizontal="left" indent="4"/>
    </xf>
    <xf numFmtId="43" fontId="42" fillId="40" borderId="1" xfId="1" applyFont="1" applyFill="1" applyBorder="1"/>
    <xf numFmtId="43" fontId="43" fillId="40" borderId="1" xfId="1" applyFont="1" applyFill="1" applyBorder="1"/>
    <xf numFmtId="0" fontId="16" fillId="38" borderId="3" xfId="0" applyFont="1" applyFill="1" applyBorder="1" applyAlignment="1">
      <alignment horizontal="left"/>
    </xf>
    <xf numFmtId="43" fontId="16" fillId="38" borderId="1" xfId="1" applyFont="1" applyFill="1" applyBorder="1"/>
    <xf numFmtId="0" fontId="16" fillId="40" borderId="3" xfId="0" applyFont="1" applyFill="1" applyBorder="1" applyAlignment="1">
      <alignment horizontal="left"/>
    </xf>
    <xf numFmtId="43" fontId="21" fillId="40" borderId="2" xfId="1" applyFont="1" applyFill="1" applyBorder="1"/>
    <xf numFmtId="0" fontId="16" fillId="38" borderId="1" xfId="0" applyFont="1" applyFill="1" applyBorder="1"/>
    <xf numFmtId="0" fontId="16" fillId="40" borderId="1" xfId="0" applyFont="1" applyFill="1" applyBorder="1"/>
    <xf numFmtId="44" fontId="39" fillId="0" borderId="1" xfId="3" applyFont="1" applyBorder="1"/>
    <xf numFmtId="44" fontId="17" fillId="7" borderId="1" xfId="3" applyFont="1" applyFill="1" applyBorder="1" applyAlignment="1">
      <alignment horizontal="center" vertical="center"/>
    </xf>
    <xf numFmtId="43" fontId="17" fillId="14" borderId="1" xfId="1" applyFont="1" applyFill="1" applyBorder="1" applyAlignment="1">
      <alignment horizontal="center" vertical="center"/>
    </xf>
    <xf numFmtId="165" fontId="18" fillId="14" borderId="1" xfId="1" applyNumberFormat="1" applyFont="1" applyFill="1" applyBorder="1" applyAlignment="1">
      <alignment horizontal="center" vertical="center"/>
    </xf>
    <xf numFmtId="165" fontId="17" fillId="0" borderId="1" xfId="0" applyNumberFormat="1" applyFont="1" applyBorder="1" applyAlignment="1">
      <alignment horizontal="center"/>
    </xf>
    <xf numFmtId="165" fontId="18" fillId="28" borderId="1" xfId="0" applyNumberFormat="1" applyFont="1" applyFill="1" applyBorder="1" applyAlignment="1">
      <alignment horizontal="center"/>
    </xf>
    <xf numFmtId="0" fontId="18" fillId="8" borderId="0" xfId="0" applyFont="1" applyFill="1" applyAlignment="1">
      <alignment horizontal="center"/>
    </xf>
    <xf numFmtId="165" fontId="18" fillId="29" borderId="1" xfId="0" applyNumberFormat="1" applyFont="1" applyFill="1" applyBorder="1" applyAlignment="1">
      <alignment horizontal="center"/>
    </xf>
    <xf numFmtId="0" fontId="18" fillId="29" borderId="0" xfId="0" quotePrefix="1" applyFont="1" applyFill="1" applyAlignment="1">
      <alignment horizontal="center" vertical="center" wrapText="1"/>
    </xf>
    <xf numFmtId="165" fontId="17" fillId="6" borderId="1" xfId="1" applyNumberFormat="1" applyFont="1" applyFill="1" applyBorder="1"/>
    <xf numFmtId="43" fontId="17" fillId="6" borderId="1" xfId="1" applyFont="1" applyFill="1" applyBorder="1" applyAlignment="1">
      <alignment horizontal="center"/>
    </xf>
    <xf numFmtId="0" fontId="17" fillId="7" borderId="1" xfId="0" applyFont="1" applyFill="1" applyBorder="1" applyAlignment="1">
      <alignment horizontal="center"/>
    </xf>
    <xf numFmtId="165" fontId="17" fillId="7" borderId="1" xfId="0" applyNumberFormat="1" applyFont="1" applyFill="1" applyBorder="1"/>
    <xf numFmtId="165" fontId="18" fillId="7" borderId="1" xfId="1" applyNumberFormat="1" applyFont="1" applyFill="1" applyBorder="1"/>
    <xf numFmtId="165" fontId="17" fillId="7" borderId="3" xfId="0" applyNumberFormat="1" applyFont="1" applyFill="1" applyBorder="1"/>
    <xf numFmtId="0" fontId="17" fillId="0" borderId="2" xfId="0" applyFont="1" applyBorder="1"/>
    <xf numFmtId="165" fontId="17" fillId="7" borderId="4" xfId="1" applyNumberFormat="1" applyFont="1" applyFill="1" applyBorder="1"/>
    <xf numFmtId="0" fontId="17" fillId="0" borderId="6" xfId="0" applyFont="1" applyBorder="1"/>
    <xf numFmtId="0" fontId="18" fillId="14" borderId="1" xfId="0" applyFont="1" applyFill="1" applyBorder="1" applyAlignment="1">
      <alignment horizontal="center"/>
    </xf>
    <xf numFmtId="164" fontId="19" fillId="6" borderId="1" xfId="2" applyNumberFormat="1" applyFont="1" applyFill="1" applyBorder="1" applyAlignment="1">
      <alignment horizontal="center"/>
    </xf>
    <xf numFmtId="10" fontId="18" fillId="0" borderId="1" xfId="2" applyNumberFormat="1" applyFont="1" applyFill="1" applyBorder="1" applyAlignment="1">
      <alignment horizontal="center"/>
    </xf>
    <xf numFmtId="0" fontId="18" fillId="7" borderId="0" xfId="0" applyFont="1" applyFill="1"/>
    <xf numFmtId="44" fontId="18" fillId="7" borderId="0" xfId="0" applyNumberFormat="1" applyFont="1" applyFill="1"/>
    <xf numFmtId="0" fontId="17" fillId="0" borderId="9" xfId="0" applyFont="1" applyBorder="1"/>
    <xf numFmtId="0" fontId="40" fillId="0" borderId="10" xfId="0" applyFont="1" applyBorder="1" applyAlignment="1">
      <alignment horizontal="center"/>
    </xf>
    <xf numFmtId="0" fontId="18" fillId="0" borderId="12" xfId="0" applyFont="1" applyBorder="1" applyAlignment="1">
      <alignment horizontal="center"/>
    </xf>
    <xf numFmtId="44" fontId="17" fillId="0" borderId="0" xfId="0" applyNumberFormat="1" applyFont="1" applyAlignment="1">
      <alignment horizontal="center"/>
    </xf>
    <xf numFmtId="164" fontId="17" fillId="0" borderId="0" xfId="0" applyNumberFormat="1" applyFont="1" applyAlignment="1">
      <alignment horizontal="center"/>
    </xf>
    <xf numFmtId="0" fontId="18" fillId="0" borderId="16" xfId="0" applyFont="1" applyBorder="1" applyAlignment="1">
      <alignment horizontal="center"/>
    </xf>
    <xf numFmtId="44" fontId="17" fillId="0" borderId="17" xfId="0" applyNumberFormat="1" applyFont="1" applyBorder="1" applyAlignment="1">
      <alignment horizontal="center"/>
    </xf>
    <xf numFmtId="9" fontId="17" fillId="0" borderId="17" xfId="2" applyFont="1" applyBorder="1" applyAlignment="1">
      <alignment horizontal="center"/>
    </xf>
    <xf numFmtId="10" fontId="17" fillId="7" borderId="0" xfId="2" applyNumberFormat="1" applyFont="1" applyFill="1" applyBorder="1" applyAlignment="1">
      <alignment horizontal="center"/>
    </xf>
    <xf numFmtId="10" fontId="17" fillId="7" borderId="17" xfId="2" applyNumberFormat="1" applyFont="1" applyFill="1" applyBorder="1" applyAlignment="1">
      <alignment horizontal="center"/>
    </xf>
    <xf numFmtId="10" fontId="17" fillId="7" borderId="13" xfId="2" applyNumberFormat="1" applyFont="1" applyFill="1" applyBorder="1" applyAlignment="1">
      <alignment horizontal="center"/>
    </xf>
    <xf numFmtId="0" fontId="40" fillId="7" borderId="10" xfId="0" applyFont="1" applyFill="1" applyBorder="1" applyAlignment="1">
      <alignment horizontal="center"/>
    </xf>
    <xf numFmtId="0" fontId="40" fillId="7" borderId="11" xfId="0" applyFont="1" applyFill="1" applyBorder="1" applyAlignment="1">
      <alignment horizontal="center"/>
    </xf>
    <xf numFmtId="0" fontId="17" fillId="7" borderId="18" xfId="0" applyFont="1" applyFill="1" applyBorder="1" applyAlignment="1">
      <alignment horizontal="center"/>
    </xf>
    <xf numFmtId="9" fontId="18" fillId="0" borderId="0" xfId="2" applyFont="1" applyFill="1" applyAlignment="1">
      <alignment horizontal="center"/>
    </xf>
    <xf numFmtId="166" fontId="28" fillId="7" borderId="1" xfId="0" applyNumberFormat="1" applyFont="1" applyFill="1" applyBorder="1" applyAlignment="1">
      <alignment horizontal="center" vertical="center"/>
    </xf>
    <xf numFmtId="0" fontId="32" fillId="31" borderId="3" xfId="0" applyFont="1" applyFill="1" applyBorder="1"/>
    <xf numFmtId="0" fontId="32" fillId="31" borderId="7" xfId="0" applyFont="1" applyFill="1" applyBorder="1"/>
    <xf numFmtId="0" fontId="32" fillId="31" borderId="4" xfId="0" applyFont="1" applyFill="1" applyBorder="1"/>
    <xf numFmtId="0" fontId="33" fillId="20" borderId="8" xfId="0" applyFont="1" applyFill="1" applyBorder="1"/>
    <xf numFmtId="0" fontId="33" fillId="20" borderId="14" xfId="0" applyFont="1" applyFill="1" applyBorder="1"/>
    <xf numFmtId="0" fontId="36" fillId="37" borderId="0" xfId="0" applyFont="1" applyFill="1" applyAlignment="1">
      <alignment horizontal="left" vertical="center"/>
    </xf>
    <xf numFmtId="0" fontId="44" fillId="42" borderId="29" xfId="0" applyFont="1" applyFill="1" applyBorder="1" applyAlignment="1">
      <alignment vertical="center"/>
    </xf>
    <xf numFmtId="0" fontId="44" fillId="42" borderId="39" xfId="0" applyFont="1" applyFill="1" applyBorder="1" applyAlignment="1">
      <alignment vertical="center"/>
    </xf>
    <xf numFmtId="0" fontId="44" fillId="42" borderId="39" xfId="0" applyFont="1" applyFill="1" applyBorder="1" applyAlignment="1">
      <alignment horizontal="center" vertical="center"/>
    </xf>
    <xf numFmtId="0" fontId="45" fillId="0" borderId="26" xfId="0" applyFont="1" applyBorder="1" applyAlignment="1">
      <alignment horizontal="center" vertical="center"/>
    </xf>
    <xf numFmtId="0" fontId="45" fillId="0" borderId="18" xfId="0" applyFont="1" applyBorder="1" applyAlignment="1">
      <alignment vertical="center"/>
    </xf>
    <xf numFmtId="2" fontId="17" fillId="30" borderId="6" xfId="0" applyNumberFormat="1" applyFont="1" applyFill="1" applyBorder="1" applyAlignment="1">
      <alignment horizontal="center"/>
    </xf>
    <xf numFmtId="0" fontId="22" fillId="29" borderId="48" xfId="0" applyFont="1" applyFill="1" applyBorder="1" applyAlignment="1">
      <alignment horizontal="right" indent="1"/>
    </xf>
    <xf numFmtId="0" fontId="34" fillId="0" borderId="20" xfId="0" applyFont="1" applyBorder="1"/>
    <xf numFmtId="0" fontId="34" fillId="0" borderId="22" xfId="0" applyFont="1" applyBorder="1" applyAlignment="1">
      <alignment horizontal="center"/>
    </xf>
    <xf numFmtId="0" fontId="34" fillId="0" borderId="47" xfId="0" applyFont="1" applyBorder="1"/>
    <xf numFmtId="0" fontId="34" fillId="0" borderId="19" xfId="0" applyFont="1" applyBorder="1" applyAlignment="1">
      <alignment horizontal="left"/>
    </xf>
    <xf numFmtId="0" fontId="34" fillId="0" borderId="8" xfId="0" applyFont="1" applyBorder="1"/>
    <xf numFmtId="0" fontId="34" fillId="0" borderId="23" xfId="0" applyFont="1" applyBorder="1" applyAlignment="1">
      <alignment horizontal="center"/>
    </xf>
    <xf numFmtId="0" fontId="18" fillId="5" borderId="5" xfId="0" applyFont="1" applyFill="1" applyBorder="1" applyAlignment="1">
      <alignment horizontal="center"/>
    </xf>
    <xf numFmtId="43" fontId="16" fillId="2" borderId="1" xfId="1" applyFont="1" applyFill="1" applyBorder="1" applyAlignment="1">
      <alignment horizontal="center"/>
    </xf>
    <xf numFmtId="0" fontId="34" fillId="20" borderId="0" xfId="0" applyFont="1" applyFill="1" applyAlignment="1">
      <alignment horizontal="left" vertical="center"/>
    </xf>
    <xf numFmtId="0" fontId="34" fillId="20" borderId="0" xfId="0" applyFont="1" applyFill="1" applyAlignment="1">
      <alignment vertical="center"/>
    </xf>
    <xf numFmtId="0" fontId="0" fillId="20" borderId="0" xfId="0" applyFill="1"/>
    <xf numFmtId="0" fontId="12" fillId="20" borderId="0" xfId="22" applyFill="1" applyBorder="1"/>
    <xf numFmtId="0" fontId="34" fillId="20" borderId="0" xfId="0" applyFont="1" applyFill="1"/>
    <xf numFmtId="0" fontId="16" fillId="13" borderId="1" xfId="0" applyFont="1" applyFill="1" applyBorder="1"/>
    <xf numFmtId="0" fontId="17" fillId="13" borderId="1" xfId="0" applyFont="1" applyFill="1" applyBorder="1" applyAlignment="1">
      <alignment horizontal="center"/>
    </xf>
    <xf numFmtId="0" fontId="17" fillId="2" borderId="12" xfId="0" applyFont="1" applyFill="1" applyBorder="1" applyAlignment="1">
      <alignment horizontal="left" indent="1"/>
    </xf>
    <xf numFmtId="2" fontId="45" fillId="2" borderId="18" xfId="0" applyNumberFormat="1" applyFont="1" applyFill="1" applyBorder="1" applyAlignment="1">
      <alignment horizontal="center" vertical="center"/>
    </xf>
    <xf numFmtId="0" fontId="17" fillId="2" borderId="0" xfId="0" applyFont="1" applyFill="1"/>
    <xf numFmtId="0" fontId="18" fillId="4" borderId="1" xfId="0" applyFont="1" applyFill="1" applyBorder="1" applyAlignment="1">
      <alignment horizontal="right"/>
    </xf>
    <xf numFmtId="0" fontId="18" fillId="16" borderId="1" xfId="0" applyFont="1" applyFill="1" applyBorder="1" applyAlignment="1">
      <alignment horizontal="right"/>
    </xf>
    <xf numFmtId="0" fontId="20" fillId="10" borderId="1" xfId="0" applyFont="1" applyFill="1" applyBorder="1" applyAlignment="1">
      <alignment horizontal="right"/>
    </xf>
    <xf numFmtId="43" fontId="17" fillId="0" borderId="0" xfId="0" applyNumberFormat="1" applyFont="1" applyAlignment="1">
      <alignment wrapText="1"/>
    </xf>
    <xf numFmtId="164" fontId="17" fillId="0" borderId="0" xfId="0" applyNumberFormat="1" applyFont="1"/>
    <xf numFmtId="0" fontId="17" fillId="0" borderId="0" xfId="0" applyFont="1" applyAlignment="1">
      <alignment horizontal="left" indent="1"/>
    </xf>
    <xf numFmtId="0" fontId="17" fillId="0" borderId="50" xfId="0" applyFont="1" applyBorder="1" applyAlignment="1">
      <alignment horizontal="left" indent="1"/>
    </xf>
    <xf numFmtId="0" fontId="46" fillId="0" borderId="0" xfId="0" applyFont="1" applyAlignment="1">
      <alignment horizontal="center" vertical="center" wrapText="1"/>
    </xf>
    <xf numFmtId="0" fontId="36" fillId="37" borderId="0" xfId="0" applyFont="1" applyFill="1" applyAlignment="1">
      <alignment horizontal="left" vertical="center"/>
    </xf>
    <xf numFmtId="0" fontId="16" fillId="11" borderId="1" xfId="0" applyFont="1" applyFill="1" applyBorder="1" applyAlignment="1">
      <alignment horizontal="center"/>
    </xf>
    <xf numFmtId="0" fontId="20" fillId="10" borderId="1" xfId="0" applyFont="1" applyFill="1" applyBorder="1" applyAlignment="1">
      <alignment horizontal="right"/>
    </xf>
    <xf numFmtId="0" fontId="16" fillId="4" borderId="1" xfId="0" applyFont="1" applyFill="1" applyBorder="1" applyAlignment="1">
      <alignment horizontal="center"/>
    </xf>
    <xf numFmtId="0" fontId="21" fillId="6" borderId="6" xfId="0" applyFont="1" applyFill="1" applyBorder="1" applyAlignment="1">
      <alignment horizontal="center"/>
    </xf>
    <xf numFmtId="0" fontId="21" fillId="6" borderId="2" xfId="0" applyFont="1" applyFill="1" applyBorder="1" applyAlignment="1">
      <alignment horizontal="center"/>
    </xf>
    <xf numFmtId="0" fontId="21" fillId="6" borderId="5" xfId="0" applyFont="1" applyFill="1" applyBorder="1" applyAlignment="1">
      <alignment horizontal="center"/>
    </xf>
    <xf numFmtId="0" fontId="21" fillId="8" borderId="3" xfId="0" applyFont="1" applyFill="1" applyBorder="1" applyAlignment="1">
      <alignment horizontal="center"/>
    </xf>
    <xf numFmtId="0" fontId="21" fillId="8" borderId="7" xfId="0" applyFont="1" applyFill="1" applyBorder="1" applyAlignment="1">
      <alignment horizontal="center"/>
    </xf>
    <xf numFmtId="0" fontId="21" fillId="8" borderId="4" xfId="0" applyFont="1" applyFill="1" applyBorder="1" applyAlignment="1">
      <alignment horizontal="center"/>
    </xf>
    <xf numFmtId="0" fontId="21" fillId="9" borderId="2" xfId="0" applyFont="1" applyFill="1" applyBorder="1" applyAlignment="1">
      <alignment horizontal="center"/>
    </xf>
    <xf numFmtId="0" fontId="21" fillId="9" borderId="6" xfId="0" applyFont="1" applyFill="1" applyBorder="1" applyAlignment="1">
      <alignment horizontal="center"/>
    </xf>
    <xf numFmtId="0" fontId="21" fillId="9" borderId="5" xfId="0" applyFont="1" applyFill="1" applyBorder="1" applyAlignment="1">
      <alignment horizontal="center"/>
    </xf>
    <xf numFmtId="0" fontId="16" fillId="4" borderId="3" xfId="0" applyFont="1" applyFill="1" applyBorder="1" applyAlignment="1">
      <alignment horizontal="center"/>
    </xf>
    <xf numFmtId="0" fontId="16" fillId="4" borderId="7" xfId="0" applyFont="1" applyFill="1" applyBorder="1" applyAlignment="1">
      <alignment horizontal="center"/>
    </xf>
    <xf numFmtId="0" fontId="16" fillId="4" borderId="4" xfId="0" applyFont="1" applyFill="1" applyBorder="1" applyAlignment="1">
      <alignment horizontal="center"/>
    </xf>
    <xf numFmtId="0" fontId="21" fillId="8" borderId="1" xfId="0" applyFont="1" applyFill="1" applyBorder="1" applyAlignment="1">
      <alignment horizontal="center"/>
    </xf>
    <xf numFmtId="0" fontId="21" fillId="15" borderId="2" xfId="0" applyFont="1" applyFill="1" applyBorder="1" applyAlignment="1">
      <alignment horizontal="center"/>
    </xf>
    <xf numFmtId="0" fontId="21" fillId="15" borderId="6" xfId="0" applyFont="1" applyFill="1" applyBorder="1" applyAlignment="1">
      <alignment horizontal="center"/>
    </xf>
    <xf numFmtId="0" fontId="17" fillId="8" borderId="3" xfId="0" applyFont="1" applyFill="1" applyBorder="1" applyAlignment="1">
      <alignment horizontal="center"/>
    </xf>
    <xf numFmtId="0" fontId="17" fillId="8" borderId="7" xfId="0" applyFont="1" applyFill="1" applyBorder="1" applyAlignment="1">
      <alignment horizontal="center"/>
    </xf>
    <xf numFmtId="0" fontId="17" fillId="8" borderId="4" xfId="0" applyFont="1" applyFill="1" applyBorder="1" applyAlignment="1">
      <alignment horizontal="center"/>
    </xf>
    <xf numFmtId="0" fontId="18" fillId="0" borderId="0" xfId="0" applyFont="1" applyAlignment="1">
      <alignment horizontal="center"/>
    </xf>
    <xf numFmtId="0" fontId="18" fillId="9" borderId="13" xfId="0" applyFont="1" applyFill="1" applyBorder="1" applyAlignment="1">
      <alignment horizontal="center" vertical="center" textRotation="180"/>
    </xf>
    <xf numFmtId="0" fontId="18" fillId="9" borderId="15" xfId="0" applyFont="1" applyFill="1" applyBorder="1" applyAlignment="1">
      <alignment horizontal="center" vertical="center" textRotation="180"/>
    </xf>
    <xf numFmtId="0" fontId="18" fillId="9" borderId="49" xfId="0" applyFont="1" applyFill="1" applyBorder="1" applyAlignment="1">
      <alignment horizontal="center" vertical="center" textRotation="180"/>
    </xf>
    <xf numFmtId="0" fontId="39" fillId="6" borderId="0" xfId="0" applyFont="1" applyFill="1" applyAlignment="1">
      <alignment horizontal="center" vertical="top"/>
    </xf>
    <xf numFmtId="0" fontId="24" fillId="22" borderId="1" xfId="0" applyFont="1" applyFill="1" applyBorder="1" applyAlignment="1">
      <alignment horizontal="center" vertical="center"/>
    </xf>
    <xf numFmtId="0" fontId="24" fillId="6" borderId="20" xfId="0" applyFont="1" applyFill="1" applyBorder="1" applyAlignment="1">
      <alignment horizontal="center" vertical="center"/>
    </xf>
    <xf numFmtId="0" fontId="24" fillId="6" borderId="21" xfId="0" applyFont="1" applyFill="1" applyBorder="1" applyAlignment="1">
      <alignment horizontal="center" vertical="center"/>
    </xf>
    <xf numFmtId="0" fontId="24" fillId="6" borderId="22" xfId="0" applyFont="1" applyFill="1" applyBorder="1" applyAlignment="1">
      <alignment horizontal="center" vertical="center"/>
    </xf>
    <xf numFmtId="0" fontId="3" fillId="20" borderId="2" xfId="0" applyFont="1" applyFill="1" applyBorder="1" applyAlignment="1">
      <alignment horizontal="center" textRotation="255"/>
    </xf>
    <xf numFmtId="0" fontId="7" fillId="20" borderId="6" xfId="0" applyFont="1" applyFill="1" applyBorder="1" applyAlignment="1">
      <alignment horizontal="center" textRotation="255"/>
    </xf>
    <xf numFmtId="0" fontId="7" fillId="20" borderId="5" xfId="0" applyFont="1" applyFill="1" applyBorder="1" applyAlignment="1">
      <alignment horizontal="center" textRotation="255"/>
    </xf>
    <xf numFmtId="0" fontId="3" fillId="20" borderId="22" xfId="0" applyFont="1" applyFill="1" applyBorder="1" applyAlignment="1">
      <alignment horizontal="center" textRotation="255"/>
    </xf>
    <xf numFmtId="0" fontId="7" fillId="20" borderId="19" xfId="0" applyFont="1" applyFill="1" applyBorder="1" applyAlignment="1">
      <alignment horizontal="center" textRotation="255"/>
    </xf>
    <xf numFmtId="0" fontId="7" fillId="20" borderId="23" xfId="0" applyFont="1" applyFill="1" applyBorder="1" applyAlignment="1">
      <alignment horizontal="center" textRotation="255"/>
    </xf>
    <xf numFmtId="0" fontId="4" fillId="18" borderId="21" xfId="0" applyFont="1" applyFill="1" applyBorder="1" applyAlignment="1">
      <alignment horizontal="center"/>
    </xf>
    <xf numFmtId="0" fontId="4" fillId="18" borderId="22" xfId="0" applyFont="1" applyFill="1" applyBorder="1" applyAlignment="1">
      <alignment horizontal="center"/>
    </xf>
    <xf numFmtId="0" fontId="4" fillId="18" borderId="3" xfId="0" applyFont="1" applyFill="1" applyBorder="1" applyAlignment="1">
      <alignment horizontal="center"/>
    </xf>
    <xf numFmtId="0" fontId="4" fillId="18" borderId="4" xfId="0" applyFont="1" applyFill="1" applyBorder="1" applyAlignment="1">
      <alignment horizontal="center"/>
    </xf>
    <xf numFmtId="17" fontId="4" fillId="18" borderId="3" xfId="0" applyNumberFormat="1" applyFont="1" applyFill="1" applyBorder="1" applyAlignment="1">
      <alignment horizontal="center"/>
    </xf>
    <xf numFmtId="0" fontId="4" fillId="18" borderId="7" xfId="0" applyFont="1" applyFill="1" applyBorder="1" applyAlignment="1">
      <alignment horizontal="center"/>
    </xf>
    <xf numFmtId="0" fontId="3" fillId="0" borderId="3"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 xfId="0" applyFont="1" applyBorder="1" applyAlignment="1">
      <alignment horizontal="center" vertical="center" wrapText="1"/>
    </xf>
    <xf numFmtId="17" fontId="4" fillId="18" borderId="7" xfId="0" applyNumberFormat="1" applyFont="1" applyFill="1" applyBorder="1" applyAlignment="1">
      <alignment horizontal="center"/>
    </xf>
    <xf numFmtId="17" fontId="4" fillId="18" borderId="4" xfId="0" applyNumberFormat="1" applyFont="1" applyFill="1" applyBorder="1" applyAlignment="1">
      <alignment horizontal="center"/>
    </xf>
    <xf numFmtId="0" fontId="4" fillId="14" borderId="1" xfId="0" applyFont="1" applyFill="1" applyBorder="1" applyAlignment="1">
      <alignment horizontal="center" vertical="center"/>
    </xf>
    <xf numFmtId="0" fontId="18" fillId="28" borderId="7" xfId="0" applyFont="1" applyFill="1" applyBorder="1" applyAlignment="1">
      <alignment horizontal="center" vertical="center" wrapText="1"/>
    </xf>
    <xf numFmtId="0" fontId="18" fillId="6" borderId="3" xfId="0" applyFont="1" applyFill="1" applyBorder="1" applyAlignment="1">
      <alignment horizontal="right"/>
    </xf>
    <xf numFmtId="0" fontId="18" fillId="6" borderId="7" xfId="0" applyFont="1" applyFill="1" applyBorder="1" applyAlignment="1">
      <alignment horizontal="right"/>
    </xf>
    <xf numFmtId="0" fontId="18" fillId="6" borderId="4" xfId="0" applyFont="1" applyFill="1" applyBorder="1" applyAlignment="1">
      <alignment horizontal="right"/>
    </xf>
    <xf numFmtId="0" fontId="18" fillId="41" borderId="1" xfId="0" applyFont="1" applyFill="1" applyBorder="1" applyAlignment="1">
      <alignment horizontal="center" vertical="center" wrapText="1"/>
    </xf>
    <xf numFmtId="0" fontId="16" fillId="30" borderId="3" xfId="0" applyFont="1" applyFill="1" applyBorder="1" applyAlignment="1">
      <alignment horizontal="center"/>
    </xf>
    <xf numFmtId="0" fontId="16" fillId="30" borderId="7" xfId="0" applyFont="1" applyFill="1" applyBorder="1" applyAlignment="1">
      <alignment horizontal="center"/>
    </xf>
    <xf numFmtId="0" fontId="16" fillId="30" borderId="4" xfId="0" applyFont="1" applyFill="1" applyBorder="1" applyAlignment="1">
      <alignment horizontal="center"/>
    </xf>
    <xf numFmtId="0" fontId="18" fillId="29" borderId="3" xfId="0" applyFont="1" applyFill="1" applyBorder="1" applyAlignment="1">
      <alignment horizontal="right"/>
    </xf>
    <xf numFmtId="0" fontId="18" fillId="29" borderId="7" xfId="0" applyFont="1" applyFill="1" applyBorder="1" applyAlignment="1">
      <alignment horizontal="right"/>
    </xf>
    <xf numFmtId="0" fontId="18" fillId="29" borderId="4" xfId="0" applyFont="1" applyFill="1" applyBorder="1" applyAlignment="1">
      <alignment horizontal="right"/>
    </xf>
    <xf numFmtId="0" fontId="18" fillId="30" borderId="3" xfId="0" applyFont="1" applyFill="1" applyBorder="1" applyAlignment="1">
      <alignment horizontal="center"/>
    </xf>
    <xf numFmtId="0" fontId="18" fillId="30" borderId="7" xfId="0" applyFont="1" applyFill="1" applyBorder="1" applyAlignment="1">
      <alignment horizontal="center"/>
    </xf>
    <xf numFmtId="0" fontId="18" fillId="6" borderId="3" xfId="0" applyFont="1" applyFill="1" applyBorder="1" applyAlignment="1">
      <alignment horizontal="center"/>
    </xf>
    <xf numFmtId="0" fontId="18" fillId="6" borderId="4" xfId="0" applyFont="1" applyFill="1" applyBorder="1" applyAlignment="1">
      <alignment horizontal="center"/>
    </xf>
    <xf numFmtId="0" fontId="0" fillId="0" borderId="0" xfId="0"/>
    <xf numFmtId="0" fontId="22" fillId="0" borderId="0" xfId="0" applyFont="1" applyFill="1"/>
    <xf numFmtId="44" fontId="17" fillId="0" borderId="0" xfId="3" applyFont="1" applyFill="1"/>
    <xf numFmtId="0" fontId="17" fillId="0" borderId="0" xfId="0" applyFont="1" applyFill="1"/>
  </cellXfs>
  <cellStyles count="23">
    <cellStyle name="Comma" xfId="1" builtinId="3"/>
    <cellStyle name="Currency" xfId="3" builtinId="4"/>
    <cellStyle name="Followed Hyperlink" xfId="11" builtinId="9" hidden="1"/>
    <cellStyle name="Followed Hyperlink" xfId="7" builtinId="9" hidden="1"/>
    <cellStyle name="Followed Hyperlink" xfId="9" builtinId="9" hidden="1"/>
    <cellStyle name="Followed Hyperlink" xfId="13" builtinId="9" hidden="1"/>
    <cellStyle name="Followed Hyperlink" xfId="21" builtinId="9" hidden="1"/>
    <cellStyle name="Followed Hyperlink" xfId="15" builtinId="9" hidden="1"/>
    <cellStyle name="Followed Hyperlink" xfId="5" builtinId="9" hidden="1"/>
    <cellStyle name="Followed Hyperlink" xfId="19" builtinId="9" hidden="1"/>
    <cellStyle name="Followed Hyperlink" xfId="17"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A4A0719-95C5-2A49-87AE-5F1825E99407}"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en-US"/>
        </a:p>
      </dgm:t>
    </dgm:pt>
    <dgm:pt modelId="{A68CFFAA-13A3-D848-A81D-FF21CFAA9FA5}">
      <dgm:prSet phldrT="[Text]"/>
      <dgm:spPr/>
      <dgm:t>
        <a:bodyPr/>
        <a:lstStyle/>
        <a:p>
          <a:r>
            <a:rPr lang="en-US">
              <a:latin typeface="Times New Roman" panose="02020603050405020304" pitchFamily="18" charset="0"/>
              <a:cs typeface="Times New Roman" panose="02020603050405020304" pitchFamily="18" charset="0"/>
            </a:rPr>
            <a:t>GM/Owner</a:t>
          </a:r>
        </a:p>
        <a:p>
          <a:r>
            <a:rPr lang="en-US">
              <a:latin typeface="Times New Roman" panose="02020603050405020304" pitchFamily="18" charset="0"/>
              <a:cs typeface="Times New Roman" panose="02020603050405020304" pitchFamily="18" charset="0"/>
            </a:rPr>
            <a:t>$52,000</a:t>
          </a:r>
        </a:p>
      </dgm:t>
    </dgm:pt>
    <dgm:pt modelId="{004FCE58-BEC1-E046-97CE-32EFE18F7988}" type="parTrans" cxnId="{3D5AB105-02CE-AE40-A103-914543C52C1C}">
      <dgm:prSet/>
      <dgm:spPr/>
      <dgm:t>
        <a:bodyPr/>
        <a:lstStyle/>
        <a:p>
          <a:endParaRPr lang="en-US">
            <a:latin typeface="Times New Roman" panose="02020603050405020304" pitchFamily="18" charset="0"/>
            <a:cs typeface="Times New Roman" panose="02020603050405020304" pitchFamily="18" charset="0"/>
          </a:endParaRPr>
        </a:p>
      </dgm:t>
    </dgm:pt>
    <dgm:pt modelId="{9C138C53-E1C1-334B-AD21-2AE465F14301}" type="sibTrans" cxnId="{3D5AB105-02CE-AE40-A103-914543C52C1C}">
      <dgm:prSet/>
      <dgm:spPr/>
      <dgm:t>
        <a:bodyPr/>
        <a:lstStyle/>
        <a:p>
          <a:endParaRPr lang="en-US">
            <a:latin typeface="Times New Roman" panose="02020603050405020304" pitchFamily="18" charset="0"/>
            <a:cs typeface="Times New Roman" panose="02020603050405020304" pitchFamily="18" charset="0"/>
          </a:endParaRPr>
        </a:p>
      </dgm:t>
    </dgm:pt>
    <dgm:pt modelId="{F77F17D3-F684-0142-833A-C9E5147A5EA1}" type="asst">
      <dgm:prSet phldrT="[Text]"/>
      <dgm:spPr/>
      <dgm:t>
        <a:bodyPr/>
        <a:lstStyle/>
        <a:p>
          <a:r>
            <a:rPr lang="en-US">
              <a:latin typeface="Times New Roman" panose="02020603050405020304" pitchFamily="18" charset="0"/>
              <a:cs typeface="Times New Roman" panose="02020603050405020304" pitchFamily="18" charset="0"/>
            </a:rPr>
            <a:t>Asst Manager</a:t>
          </a:r>
        </a:p>
        <a:p>
          <a:r>
            <a:rPr lang="en-US">
              <a:latin typeface="Times New Roman" panose="02020603050405020304" pitchFamily="18" charset="0"/>
              <a:cs typeface="Times New Roman" panose="02020603050405020304" pitchFamily="18" charset="0"/>
            </a:rPr>
            <a:t>$32,000</a:t>
          </a:r>
        </a:p>
      </dgm:t>
    </dgm:pt>
    <dgm:pt modelId="{C3AA32F1-21B5-6744-8C4D-F8BA3E2E1A47}" type="parTrans" cxnId="{FF28599F-18C0-044A-A61F-AD428A38DF25}">
      <dgm:prSet/>
      <dgm:spPr/>
      <dgm:t>
        <a:bodyPr/>
        <a:lstStyle/>
        <a:p>
          <a:endParaRPr lang="en-US">
            <a:latin typeface="Times New Roman" panose="02020603050405020304" pitchFamily="18" charset="0"/>
            <a:cs typeface="Times New Roman" panose="02020603050405020304" pitchFamily="18" charset="0"/>
          </a:endParaRPr>
        </a:p>
      </dgm:t>
    </dgm:pt>
    <dgm:pt modelId="{3C862296-8DC9-A34C-B074-0C548E8D0DA6}" type="sibTrans" cxnId="{FF28599F-18C0-044A-A61F-AD428A38DF25}">
      <dgm:prSet/>
      <dgm:spPr/>
      <dgm:t>
        <a:bodyPr/>
        <a:lstStyle/>
        <a:p>
          <a:endParaRPr lang="en-US">
            <a:latin typeface="Times New Roman" panose="02020603050405020304" pitchFamily="18" charset="0"/>
            <a:cs typeface="Times New Roman" panose="02020603050405020304" pitchFamily="18" charset="0"/>
          </a:endParaRPr>
        </a:p>
      </dgm:t>
    </dgm:pt>
    <dgm:pt modelId="{DEE96489-99E7-E24B-880A-58B70E794884}">
      <dgm:prSet phldrT="[Text]"/>
      <dgm:spPr/>
      <dgm:t>
        <a:bodyPr/>
        <a:lstStyle/>
        <a:p>
          <a:r>
            <a:rPr lang="en-US">
              <a:latin typeface="Times New Roman" panose="02020603050405020304" pitchFamily="18" charset="0"/>
              <a:cs typeface="Times New Roman" panose="02020603050405020304" pitchFamily="18" charset="0"/>
            </a:rPr>
            <a:t>AM Barista</a:t>
          </a:r>
        </a:p>
        <a:p>
          <a:r>
            <a:rPr lang="en-US">
              <a:latin typeface="Times New Roman" panose="02020603050405020304" pitchFamily="18" charset="0"/>
              <a:cs typeface="Times New Roman" panose="02020603050405020304" pitchFamily="18" charset="0"/>
            </a:rPr>
            <a:t>$12/hr</a:t>
          </a:r>
        </a:p>
      </dgm:t>
    </dgm:pt>
    <dgm:pt modelId="{84035DEA-2A9B-454D-BAEF-2C9D69A8C1A4}" type="parTrans" cxnId="{76D6365D-268B-EC42-8FDE-01A7F42471CA}">
      <dgm:prSet/>
      <dgm:spPr/>
      <dgm:t>
        <a:bodyPr/>
        <a:lstStyle/>
        <a:p>
          <a:endParaRPr lang="en-US">
            <a:latin typeface="Times New Roman" panose="02020603050405020304" pitchFamily="18" charset="0"/>
            <a:cs typeface="Times New Roman" panose="02020603050405020304" pitchFamily="18" charset="0"/>
          </a:endParaRPr>
        </a:p>
      </dgm:t>
    </dgm:pt>
    <dgm:pt modelId="{85F22A42-8DE9-DF42-9A9B-89465CE1063D}" type="sibTrans" cxnId="{76D6365D-268B-EC42-8FDE-01A7F42471CA}">
      <dgm:prSet/>
      <dgm:spPr/>
      <dgm:t>
        <a:bodyPr/>
        <a:lstStyle/>
        <a:p>
          <a:endParaRPr lang="en-US">
            <a:latin typeface="Times New Roman" panose="02020603050405020304" pitchFamily="18" charset="0"/>
            <a:cs typeface="Times New Roman" panose="02020603050405020304" pitchFamily="18" charset="0"/>
          </a:endParaRPr>
        </a:p>
      </dgm:t>
    </dgm:pt>
    <dgm:pt modelId="{ADF2F93B-FC10-E441-96CC-9FB0FBC4E5AA}">
      <dgm:prSet phldrT="[Text]"/>
      <dgm:spPr/>
      <dgm:t>
        <a:bodyPr/>
        <a:lstStyle/>
        <a:p>
          <a:r>
            <a:rPr lang="en-US">
              <a:latin typeface="Times New Roman" panose="02020603050405020304" pitchFamily="18" charset="0"/>
              <a:cs typeface="Times New Roman" panose="02020603050405020304" pitchFamily="18" charset="0"/>
            </a:rPr>
            <a:t>PM Barista</a:t>
          </a:r>
        </a:p>
        <a:p>
          <a:r>
            <a:rPr lang="en-US">
              <a:latin typeface="Times New Roman" panose="02020603050405020304" pitchFamily="18" charset="0"/>
              <a:cs typeface="Times New Roman" panose="02020603050405020304" pitchFamily="18" charset="0"/>
            </a:rPr>
            <a:t>$12/hr</a:t>
          </a:r>
        </a:p>
      </dgm:t>
    </dgm:pt>
    <dgm:pt modelId="{2F77E111-2955-244E-AC0C-4B6EAC862913}" type="parTrans" cxnId="{68B6F9C8-FA37-8D40-99F7-2180B983A8A2}">
      <dgm:prSet/>
      <dgm:spPr/>
      <dgm:t>
        <a:bodyPr/>
        <a:lstStyle/>
        <a:p>
          <a:endParaRPr lang="en-US">
            <a:latin typeface="Times New Roman" panose="02020603050405020304" pitchFamily="18" charset="0"/>
            <a:cs typeface="Times New Roman" panose="02020603050405020304" pitchFamily="18" charset="0"/>
          </a:endParaRPr>
        </a:p>
      </dgm:t>
    </dgm:pt>
    <dgm:pt modelId="{BBB13376-CFE3-7C40-8696-68C25CF63714}" type="sibTrans" cxnId="{68B6F9C8-FA37-8D40-99F7-2180B983A8A2}">
      <dgm:prSet/>
      <dgm:spPr/>
      <dgm:t>
        <a:bodyPr/>
        <a:lstStyle/>
        <a:p>
          <a:endParaRPr lang="en-US">
            <a:latin typeface="Times New Roman" panose="02020603050405020304" pitchFamily="18" charset="0"/>
            <a:cs typeface="Times New Roman" panose="02020603050405020304" pitchFamily="18" charset="0"/>
          </a:endParaRPr>
        </a:p>
      </dgm:t>
    </dgm:pt>
    <dgm:pt modelId="{F9D9F862-8F7B-BF4B-A2E1-AFE4CEBF34BF}">
      <dgm:prSet phldrT="[Text]"/>
      <dgm:spPr/>
      <dgm:t>
        <a:bodyPr/>
        <a:lstStyle/>
        <a:p>
          <a:r>
            <a:rPr lang="en-US">
              <a:latin typeface="Times New Roman" panose="02020603050405020304" pitchFamily="18" charset="0"/>
              <a:cs typeface="Times New Roman" panose="02020603050405020304" pitchFamily="18" charset="0"/>
            </a:rPr>
            <a:t>AM Cook</a:t>
          </a:r>
        </a:p>
        <a:p>
          <a:r>
            <a:rPr lang="en-US">
              <a:latin typeface="Times New Roman" panose="02020603050405020304" pitchFamily="18" charset="0"/>
              <a:cs typeface="Times New Roman" panose="02020603050405020304" pitchFamily="18" charset="0"/>
            </a:rPr>
            <a:t>$12/hr</a:t>
          </a:r>
        </a:p>
      </dgm:t>
    </dgm:pt>
    <dgm:pt modelId="{618F111D-4DD7-184E-8A28-DC8E72A22427}" type="parTrans" cxnId="{79B87CE7-8485-6B4E-9BB3-229F2F58CED8}">
      <dgm:prSet/>
      <dgm:spPr/>
      <dgm:t>
        <a:bodyPr/>
        <a:lstStyle/>
        <a:p>
          <a:endParaRPr lang="en-US">
            <a:latin typeface="Times New Roman" panose="02020603050405020304" pitchFamily="18" charset="0"/>
            <a:cs typeface="Times New Roman" panose="02020603050405020304" pitchFamily="18" charset="0"/>
          </a:endParaRPr>
        </a:p>
      </dgm:t>
    </dgm:pt>
    <dgm:pt modelId="{2C493C86-4D3F-1441-BBB8-0DD7DCB57674}" type="sibTrans" cxnId="{79B87CE7-8485-6B4E-9BB3-229F2F58CED8}">
      <dgm:prSet/>
      <dgm:spPr/>
      <dgm:t>
        <a:bodyPr/>
        <a:lstStyle/>
        <a:p>
          <a:endParaRPr lang="en-US">
            <a:latin typeface="Times New Roman" panose="02020603050405020304" pitchFamily="18" charset="0"/>
            <a:cs typeface="Times New Roman" panose="02020603050405020304" pitchFamily="18" charset="0"/>
          </a:endParaRPr>
        </a:p>
      </dgm:t>
    </dgm:pt>
    <dgm:pt modelId="{FF9D73CB-AD07-0842-BB5D-C30986CDC08A}" type="pres">
      <dgm:prSet presAssocID="{4A4A0719-95C5-2A49-87AE-5F1825E99407}" presName="hierChild1" presStyleCnt="0">
        <dgm:presLayoutVars>
          <dgm:orgChart val="1"/>
          <dgm:chPref val="1"/>
          <dgm:dir/>
          <dgm:animOne val="branch"/>
          <dgm:animLvl val="lvl"/>
          <dgm:resizeHandles/>
        </dgm:presLayoutVars>
      </dgm:prSet>
      <dgm:spPr/>
    </dgm:pt>
    <dgm:pt modelId="{487DF582-77EA-B343-BC0C-A9FF3EAEAC4D}" type="pres">
      <dgm:prSet presAssocID="{A68CFFAA-13A3-D848-A81D-FF21CFAA9FA5}" presName="hierRoot1" presStyleCnt="0">
        <dgm:presLayoutVars>
          <dgm:hierBranch val="init"/>
        </dgm:presLayoutVars>
      </dgm:prSet>
      <dgm:spPr/>
    </dgm:pt>
    <dgm:pt modelId="{5C10D8EC-2415-5F45-9F1A-90CA19AB0356}" type="pres">
      <dgm:prSet presAssocID="{A68CFFAA-13A3-D848-A81D-FF21CFAA9FA5}" presName="rootComposite1" presStyleCnt="0"/>
      <dgm:spPr/>
    </dgm:pt>
    <dgm:pt modelId="{770F5802-4606-7748-BEEC-CB6D934648A5}" type="pres">
      <dgm:prSet presAssocID="{A68CFFAA-13A3-D848-A81D-FF21CFAA9FA5}" presName="rootText1" presStyleLbl="node0" presStyleIdx="0" presStyleCnt="1">
        <dgm:presLayoutVars>
          <dgm:chPref val="3"/>
        </dgm:presLayoutVars>
      </dgm:prSet>
      <dgm:spPr/>
    </dgm:pt>
    <dgm:pt modelId="{2AA78ABC-7BAE-2946-8F4F-5299CCA23DBB}" type="pres">
      <dgm:prSet presAssocID="{A68CFFAA-13A3-D848-A81D-FF21CFAA9FA5}" presName="rootConnector1" presStyleLbl="node1" presStyleIdx="0" presStyleCnt="0"/>
      <dgm:spPr/>
    </dgm:pt>
    <dgm:pt modelId="{62FD9976-3068-1142-A141-2EDDBF16A1AF}" type="pres">
      <dgm:prSet presAssocID="{A68CFFAA-13A3-D848-A81D-FF21CFAA9FA5}" presName="hierChild2" presStyleCnt="0"/>
      <dgm:spPr/>
    </dgm:pt>
    <dgm:pt modelId="{94D01A6B-D52B-E84C-8123-81A7B7F12A48}" type="pres">
      <dgm:prSet presAssocID="{84035DEA-2A9B-454D-BAEF-2C9D69A8C1A4}" presName="Name37" presStyleLbl="parChTrans1D2" presStyleIdx="0" presStyleCnt="4"/>
      <dgm:spPr/>
    </dgm:pt>
    <dgm:pt modelId="{885BC885-DBEB-384C-911E-695B0F1DD717}" type="pres">
      <dgm:prSet presAssocID="{DEE96489-99E7-E24B-880A-58B70E794884}" presName="hierRoot2" presStyleCnt="0">
        <dgm:presLayoutVars>
          <dgm:hierBranch val="init"/>
        </dgm:presLayoutVars>
      </dgm:prSet>
      <dgm:spPr/>
    </dgm:pt>
    <dgm:pt modelId="{F67D24FD-A65D-054F-931E-2BBCF47E3D7C}" type="pres">
      <dgm:prSet presAssocID="{DEE96489-99E7-E24B-880A-58B70E794884}" presName="rootComposite" presStyleCnt="0"/>
      <dgm:spPr/>
    </dgm:pt>
    <dgm:pt modelId="{AEF23838-4728-3440-A7E8-6885201C31FD}" type="pres">
      <dgm:prSet presAssocID="{DEE96489-99E7-E24B-880A-58B70E794884}" presName="rootText" presStyleLbl="node2" presStyleIdx="0" presStyleCnt="3">
        <dgm:presLayoutVars>
          <dgm:chPref val="3"/>
        </dgm:presLayoutVars>
      </dgm:prSet>
      <dgm:spPr/>
    </dgm:pt>
    <dgm:pt modelId="{78895423-539B-8D47-883E-1411906B81EE}" type="pres">
      <dgm:prSet presAssocID="{DEE96489-99E7-E24B-880A-58B70E794884}" presName="rootConnector" presStyleLbl="node2" presStyleIdx="0" presStyleCnt="3"/>
      <dgm:spPr/>
    </dgm:pt>
    <dgm:pt modelId="{64406AB4-9A70-5B40-8BEB-3C20FD660EF1}" type="pres">
      <dgm:prSet presAssocID="{DEE96489-99E7-E24B-880A-58B70E794884}" presName="hierChild4" presStyleCnt="0"/>
      <dgm:spPr/>
    </dgm:pt>
    <dgm:pt modelId="{5773A050-5E4A-4C46-9DCE-1D589625E972}" type="pres">
      <dgm:prSet presAssocID="{DEE96489-99E7-E24B-880A-58B70E794884}" presName="hierChild5" presStyleCnt="0"/>
      <dgm:spPr/>
    </dgm:pt>
    <dgm:pt modelId="{2E51ECE9-179A-A144-A695-C89AD6F42B3A}" type="pres">
      <dgm:prSet presAssocID="{2F77E111-2955-244E-AC0C-4B6EAC862913}" presName="Name37" presStyleLbl="parChTrans1D2" presStyleIdx="1" presStyleCnt="4"/>
      <dgm:spPr/>
    </dgm:pt>
    <dgm:pt modelId="{D9CBA92A-1279-4943-9EE2-172A0040FE48}" type="pres">
      <dgm:prSet presAssocID="{ADF2F93B-FC10-E441-96CC-9FB0FBC4E5AA}" presName="hierRoot2" presStyleCnt="0">
        <dgm:presLayoutVars>
          <dgm:hierBranch val="init"/>
        </dgm:presLayoutVars>
      </dgm:prSet>
      <dgm:spPr/>
    </dgm:pt>
    <dgm:pt modelId="{9A7FAD9A-FC72-DD4E-8C5E-01CC8FE67B0C}" type="pres">
      <dgm:prSet presAssocID="{ADF2F93B-FC10-E441-96CC-9FB0FBC4E5AA}" presName="rootComposite" presStyleCnt="0"/>
      <dgm:spPr/>
    </dgm:pt>
    <dgm:pt modelId="{244204CA-A00F-074D-AE20-45D5E6B3B419}" type="pres">
      <dgm:prSet presAssocID="{ADF2F93B-FC10-E441-96CC-9FB0FBC4E5AA}" presName="rootText" presStyleLbl="node2" presStyleIdx="1" presStyleCnt="3">
        <dgm:presLayoutVars>
          <dgm:chPref val="3"/>
        </dgm:presLayoutVars>
      </dgm:prSet>
      <dgm:spPr/>
    </dgm:pt>
    <dgm:pt modelId="{D77C78D0-A086-204F-810F-D1CD8DADE364}" type="pres">
      <dgm:prSet presAssocID="{ADF2F93B-FC10-E441-96CC-9FB0FBC4E5AA}" presName="rootConnector" presStyleLbl="node2" presStyleIdx="1" presStyleCnt="3"/>
      <dgm:spPr/>
    </dgm:pt>
    <dgm:pt modelId="{979A4A99-2C33-B640-853F-6544E3F328AF}" type="pres">
      <dgm:prSet presAssocID="{ADF2F93B-FC10-E441-96CC-9FB0FBC4E5AA}" presName="hierChild4" presStyleCnt="0"/>
      <dgm:spPr/>
    </dgm:pt>
    <dgm:pt modelId="{39DF6DA9-923D-3B4D-83A6-7C72831EFCF4}" type="pres">
      <dgm:prSet presAssocID="{ADF2F93B-FC10-E441-96CC-9FB0FBC4E5AA}" presName="hierChild5" presStyleCnt="0"/>
      <dgm:spPr/>
    </dgm:pt>
    <dgm:pt modelId="{2F2980F8-8D8E-9B49-8D03-CEC8DBC3B2AD}" type="pres">
      <dgm:prSet presAssocID="{618F111D-4DD7-184E-8A28-DC8E72A22427}" presName="Name37" presStyleLbl="parChTrans1D2" presStyleIdx="2" presStyleCnt="4"/>
      <dgm:spPr/>
    </dgm:pt>
    <dgm:pt modelId="{6C170957-000D-4642-A359-6B224CF835E1}" type="pres">
      <dgm:prSet presAssocID="{F9D9F862-8F7B-BF4B-A2E1-AFE4CEBF34BF}" presName="hierRoot2" presStyleCnt="0">
        <dgm:presLayoutVars>
          <dgm:hierBranch val="init"/>
        </dgm:presLayoutVars>
      </dgm:prSet>
      <dgm:spPr/>
    </dgm:pt>
    <dgm:pt modelId="{B5264826-7F13-ED41-9326-9114D9386531}" type="pres">
      <dgm:prSet presAssocID="{F9D9F862-8F7B-BF4B-A2E1-AFE4CEBF34BF}" presName="rootComposite" presStyleCnt="0"/>
      <dgm:spPr/>
    </dgm:pt>
    <dgm:pt modelId="{23CEC855-65AE-414C-97B7-F7864DF51B43}" type="pres">
      <dgm:prSet presAssocID="{F9D9F862-8F7B-BF4B-A2E1-AFE4CEBF34BF}" presName="rootText" presStyleLbl="node2" presStyleIdx="2" presStyleCnt="3" custAng="0">
        <dgm:presLayoutVars>
          <dgm:chPref val="3"/>
        </dgm:presLayoutVars>
      </dgm:prSet>
      <dgm:spPr/>
    </dgm:pt>
    <dgm:pt modelId="{469A0AB5-C423-2C40-971C-572E64C67465}" type="pres">
      <dgm:prSet presAssocID="{F9D9F862-8F7B-BF4B-A2E1-AFE4CEBF34BF}" presName="rootConnector" presStyleLbl="node2" presStyleIdx="2" presStyleCnt="3"/>
      <dgm:spPr/>
    </dgm:pt>
    <dgm:pt modelId="{266D5B42-CDDE-C14B-A1F8-AB8E036A51DC}" type="pres">
      <dgm:prSet presAssocID="{F9D9F862-8F7B-BF4B-A2E1-AFE4CEBF34BF}" presName="hierChild4" presStyleCnt="0"/>
      <dgm:spPr/>
    </dgm:pt>
    <dgm:pt modelId="{FCA10F2F-8C5A-4D44-A4E3-A4DA0C41B9DF}" type="pres">
      <dgm:prSet presAssocID="{F9D9F862-8F7B-BF4B-A2E1-AFE4CEBF34BF}" presName="hierChild5" presStyleCnt="0"/>
      <dgm:spPr/>
    </dgm:pt>
    <dgm:pt modelId="{BA3690F0-30D6-584F-904F-2CCC374D2799}" type="pres">
      <dgm:prSet presAssocID="{A68CFFAA-13A3-D848-A81D-FF21CFAA9FA5}" presName="hierChild3" presStyleCnt="0"/>
      <dgm:spPr/>
    </dgm:pt>
    <dgm:pt modelId="{9390E6E4-099D-5749-BAF2-34E0457C099E}" type="pres">
      <dgm:prSet presAssocID="{C3AA32F1-21B5-6744-8C4D-F8BA3E2E1A47}" presName="Name111" presStyleLbl="parChTrans1D2" presStyleIdx="3" presStyleCnt="4"/>
      <dgm:spPr/>
    </dgm:pt>
    <dgm:pt modelId="{581628ED-1606-1A4C-A602-AD415661022E}" type="pres">
      <dgm:prSet presAssocID="{F77F17D3-F684-0142-833A-C9E5147A5EA1}" presName="hierRoot3" presStyleCnt="0">
        <dgm:presLayoutVars>
          <dgm:hierBranch val="init"/>
        </dgm:presLayoutVars>
      </dgm:prSet>
      <dgm:spPr/>
    </dgm:pt>
    <dgm:pt modelId="{763444F3-7F66-5B4C-B2C7-77146D5F5EDE}" type="pres">
      <dgm:prSet presAssocID="{F77F17D3-F684-0142-833A-C9E5147A5EA1}" presName="rootComposite3" presStyleCnt="0"/>
      <dgm:spPr/>
    </dgm:pt>
    <dgm:pt modelId="{A5BF6DA4-6717-6245-83D5-AD2D03E2E837}" type="pres">
      <dgm:prSet presAssocID="{F77F17D3-F684-0142-833A-C9E5147A5EA1}" presName="rootText3" presStyleLbl="asst1" presStyleIdx="0" presStyleCnt="1">
        <dgm:presLayoutVars>
          <dgm:chPref val="3"/>
        </dgm:presLayoutVars>
      </dgm:prSet>
      <dgm:spPr/>
    </dgm:pt>
    <dgm:pt modelId="{780A8A21-F749-7C4A-8F5D-7CE0EB471AD7}" type="pres">
      <dgm:prSet presAssocID="{F77F17D3-F684-0142-833A-C9E5147A5EA1}" presName="rootConnector3" presStyleLbl="asst1" presStyleIdx="0" presStyleCnt="1"/>
      <dgm:spPr/>
    </dgm:pt>
    <dgm:pt modelId="{B76F781E-338D-BA46-A89B-68B9CA5B8912}" type="pres">
      <dgm:prSet presAssocID="{F77F17D3-F684-0142-833A-C9E5147A5EA1}" presName="hierChild6" presStyleCnt="0"/>
      <dgm:spPr/>
    </dgm:pt>
    <dgm:pt modelId="{C7599EF3-941F-B141-B15F-9D71FF9FB237}" type="pres">
      <dgm:prSet presAssocID="{F77F17D3-F684-0142-833A-C9E5147A5EA1}" presName="hierChild7" presStyleCnt="0"/>
      <dgm:spPr/>
    </dgm:pt>
  </dgm:ptLst>
  <dgm:cxnLst>
    <dgm:cxn modelId="{3D5AB105-02CE-AE40-A103-914543C52C1C}" srcId="{4A4A0719-95C5-2A49-87AE-5F1825E99407}" destId="{A68CFFAA-13A3-D848-A81D-FF21CFAA9FA5}" srcOrd="0" destOrd="0" parTransId="{004FCE58-BEC1-E046-97CE-32EFE18F7988}" sibTransId="{9C138C53-E1C1-334B-AD21-2AE465F14301}"/>
    <dgm:cxn modelId="{9B314307-B9CE-44E3-9980-1D6EDA3EF1A1}" type="presOf" srcId="{DEE96489-99E7-E24B-880A-58B70E794884}" destId="{AEF23838-4728-3440-A7E8-6885201C31FD}" srcOrd="0" destOrd="0" presId="urn:microsoft.com/office/officeart/2005/8/layout/orgChart1"/>
    <dgm:cxn modelId="{559E8A07-239C-4613-ABB9-5EA7A1722DBC}" type="presOf" srcId="{2F77E111-2955-244E-AC0C-4B6EAC862913}" destId="{2E51ECE9-179A-A144-A695-C89AD6F42B3A}" srcOrd="0" destOrd="0" presId="urn:microsoft.com/office/officeart/2005/8/layout/orgChart1"/>
    <dgm:cxn modelId="{8CE5E710-A486-407F-925D-E648A6AF6327}" type="presOf" srcId="{F77F17D3-F684-0142-833A-C9E5147A5EA1}" destId="{780A8A21-F749-7C4A-8F5D-7CE0EB471AD7}" srcOrd="1" destOrd="0" presId="urn:microsoft.com/office/officeart/2005/8/layout/orgChart1"/>
    <dgm:cxn modelId="{A31FF713-5003-4857-8A7D-244BA1A3D20A}" type="presOf" srcId="{84035DEA-2A9B-454D-BAEF-2C9D69A8C1A4}" destId="{94D01A6B-D52B-E84C-8123-81A7B7F12A48}" srcOrd="0" destOrd="0" presId="urn:microsoft.com/office/officeart/2005/8/layout/orgChart1"/>
    <dgm:cxn modelId="{2AE4421B-7DB8-4535-B131-3E672E6D866F}" type="presOf" srcId="{A68CFFAA-13A3-D848-A81D-FF21CFAA9FA5}" destId="{770F5802-4606-7748-BEEC-CB6D934648A5}" srcOrd="0" destOrd="0" presId="urn:microsoft.com/office/officeart/2005/8/layout/orgChart1"/>
    <dgm:cxn modelId="{96BEAB33-2AFE-413A-ABF3-98A843897E44}" type="presOf" srcId="{618F111D-4DD7-184E-8A28-DC8E72A22427}" destId="{2F2980F8-8D8E-9B49-8D03-CEC8DBC3B2AD}" srcOrd="0" destOrd="0" presId="urn:microsoft.com/office/officeart/2005/8/layout/orgChart1"/>
    <dgm:cxn modelId="{9EA0673D-A64E-45D8-B45D-8DFE5A340C3D}" type="presOf" srcId="{4A4A0719-95C5-2A49-87AE-5F1825E99407}" destId="{FF9D73CB-AD07-0842-BB5D-C30986CDC08A}" srcOrd="0" destOrd="0" presId="urn:microsoft.com/office/officeart/2005/8/layout/orgChart1"/>
    <dgm:cxn modelId="{76D6365D-268B-EC42-8FDE-01A7F42471CA}" srcId="{A68CFFAA-13A3-D848-A81D-FF21CFAA9FA5}" destId="{DEE96489-99E7-E24B-880A-58B70E794884}" srcOrd="1" destOrd="0" parTransId="{84035DEA-2A9B-454D-BAEF-2C9D69A8C1A4}" sibTransId="{85F22A42-8DE9-DF42-9A9B-89465CE1063D}"/>
    <dgm:cxn modelId="{5C073B6D-12A9-416F-90A5-73AAD3691A70}" type="presOf" srcId="{F77F17D3-F684-0142-833A-C9E5147A5EA1}" destId="{A5BF6DA4-6717-6245-83D5-AD2D03E2E837}" srcOrd="0" destOrd="0" presId="urn:microsoft.com/office/officeart/2005/8/layout/orgChart1"/>
    <dgm:cxn modelId="{BF7BC171-1E96-469C-91E7-DDAF1D0F574C}" type="presOf" srcId="{F9D9F862-8F7B-BF4B-A2E1-AFE4CEBF34BF}" destId="{23CEC855-65AE-414C-97B7-F7864DF51B43}" srcOrd="0" destOrd="0" presId="urn:microsoft.com/office/officeart/2005/8/layout/orgChart1"/>
    <dgm:cxn modelId="{B678E47F-5901-4C7A-A9F4-7DEC697EB8E4}" type="presOf" srcId="{A68CFFAA-13A3-D848-A81D-FF21CFAA9FA5}" destId="{2AA78ABC-7BAE-2946-8F4F-5299CCA23DBB}" srcOrd="1" destOrd="0" presId="urn:microsoft.com/office/officeart/2005/8/layout/orgChart1"/>
    <dgm:cxn modelId="{8CB9F480-1405-42B4-89EE-8B682F6D0411}" type="presOf" srcId="{ADF2F93B-FC10-E441-96CC-9FB0FBC4E5AA}" destId="{244204CA-A00F-074D-AE20-45D5E6B3B419}" srcOrd="0" destOrd="0" presId="urn:microsoft.com/office/officeart/2005/8/layout/orgChart1"/>
    <dgm:cxn modelId="{C98D7D93-35B6-4FFA-96C4-E65FDB93F51C}" type="presOf" srcId="{DEE96489-99E7-E24B-880A-58B70E794884}" destId="{78895423-539B-8D47-883E-1411906B81EE}" srcOrd="1" destOrd="0" presId="urn:microsoft.com/office/officeart/2005/8/layout/orgChart1"/>
    <dgm:cxn modelId="{FF28599F-18C0-044A-A61F-AD428A38DF25}" srcId="{A68CFFAA-13A3-D848-A81D-FF21CFAA9FA5}" destId="{F77F17D3-F684-0142-833A-C9E5147A5EA1}" srcOrd="0" destOrd="0" parTransId="{C3AA32F1-21B5-6744-8C4D-F8BA3E2E1A47}" sibTransId="{3C862296-8DC9-A34C-B074-0C548E8D0DA6}"/>
    <dgm:cxn modelId="{8E74DCAA-5003-4D0F-9F6B-BC18B51BB725}" type="presOf" srcId="{F9D9F862-8F7B-BF4B-A2E1-AFE4CEBF34BF}" destId="{469A0AB5-C423-2C40-971C-572E64C67465}" srcOrd="1" destOrd="0" presId="urn:microsoft.com/office/officeart/2005/8/layout/orgChart1"/>
    <dgm:cxn modelId="{68B6F9C8-FA37-8D40-99F7-2180B983A8A2}" srcId="{A68CFFAA-13A3-D848-A81D-FF21CFAA9FA5}" destId="{ADF2F93B-FC10-E441-96CC-9FB0FBC4E5AA}" srcOrd="2" destOrd="0" parTransId="{2F77E111-2955-244E-AC0C-4B6EAC862913}" sibTransId="{BBB13376-CFE3-7C40-8696-68C25CF63714}"/>
    <dgm:cxn modelId="{92AD7ECE-9525-432B-BAB7-5EF367B9D005}" type="presOf" srcId="{C3AA32F1-21B5-6744-8C4D-F8BA3E2E1A47}" destId="{9390E6E4-099D-5749-BAF2-34E0457C099E}" srcOrd="0" destOrd="0" presId="urn:microsoft.com/office/officeart/2005/8/layout/orgChart1"/>
    <dgm:cxn modelId="{79B87CE7-8485-6B4E-9BB3-229F2F58CED8}" srcId="{A68CFFAA-13A3-D848-A81D-FF21CFAA9FA5}" destId="{F9D9F862-8F7B-BF4B-A2E1-AFE4CEBF34BF}" srcOrd="3" destOrd="0" parTransId="{618F111D-4DD7-184E-8A28-DC8E72A22427}" sibTransId="{2C493C86-4D3F-1441-BBB8-0DD7DCB57674}"/>
    <dgm:cxn modelId="{BE39BCEB-5876-4529-BC9C-45C31E7725CA}" type="presOf" srcId="{ADF2F93B-FC10-E441-96CC-9FB0FBC4E5AA}" destId="{D77C78D0-A086-204F-810F-D1CD8DADE364}" srcOrd="1" destOrd="0" presId="urn:microsoft.com/office/officeart/2005/8/layout/orgChart1"/>
    <dgm:cxn modelId="{79E0CFDF-F8F4-4CC6-A026-AFFFB97A4E8A}" type="presParOf" srcId="{FF9D73CB-AD07-0842-BB5D-C30986CDC08A}" destId="{487DF582-77EA-B343-BC0C-A9FF3EAEAC4D}" srcOrd="0" destOrd="0" presId="urn:microsoft.com/office/officeart/2005/8/layout/orgChart1"/>
    <dgm:cxn modelId="{43010BD3-C351-41D5-BDD9-36F5F767DBF8}" type="presParOf" srcId="{487DF582-77EA-B343-BC0C-A9FF3EAEAC4D}" destId="{5C10D8EC-2415-5F45-9F1A-90CA19AB0356}" srcOrd="0" destOrd="0" presId="urn:microsoft.com/office/officeart/2005/8/layout/orgChart1"/>
    <dgm:cxn modelId="{21B04237-DCD4-4507-9329-B4B49891A746}" type="presParOf" srcId="{5C10D8EC-2415-5F45-9F1A-90CA19AB0356}" destId="{770F5802-4606-7748-BEEC-CB6D934648A5}" srcOrd="0" destOrd="0" presId="urn:microsoft.com/office/officeart/2005/8/layout/orgChart1"/>
    <dgm:cxn modelId="{8E0C501B-CA28-4C1D-BC9D-0523BEC8A0B2}" type="presParOf" srcId="{5C10D8EC-2415-5F45-9F1A-90CA19AB0356}" destId="{2AA78ABC-7BAE-2946-8F4F-5299CCA23DBB}" srcOrd="1" destOrd="0" presId="urn:microsoft.com/office/officeart/2005/8/layout/orgChart1"/>
    <dgm:cxn modelId="{84FD9B40-87FD-4C55-8694-006BFD858C3E}" type="presParOf" srcId="{487DF582-77EA-B343-BC0C-A9FF3EAEAC4D}" destId="{62FD9976-3068-1142-A141-2EDDBF16A1AF}" srcOrd="1" destOrd="0" presId="urn:microsoft.com/office/officeart/2005/8/layout/orgChart1"/>
    <dgm:cxn modelId="{0476A2BB-92BE-4982-A372-524DE393ACB2}" type="presParOf" srcId="{62FD9976-3068-1142-A141-2EDDBF16A1AF}" destId="{94D01A6B-D52B-E84C-8123-81A7B7F12A48}" srcOrd="0" destOrd="0" presId="urn:microsoft.com/office/officeart/2005/8/layout/orgChart1"/>
    <dgm:cxn modelId="{0257ACE6-2E28-4512-821E-F58E2767D791}" type="presParOf" srcId="{62FD9976-3068-1142-A141-2EDDBF16A1AF}" destId="{885BC885-DBEB-384C-911E-695B0F1DD717}" srcOrd="1" destOrd="0" presId="urn:microsoft.com/office/officeart/2005/8/layout/orgChart1"/>
    <dgm:cxn modelId="{2739056B-F5DC-4D9D-BF5E-CAE485A697F3}" type="presParOf" srcId="{885BC885-DBEB-384C-911E-695B0F1DD717}" destId="{F67D24FD-A65D-054F-931E-2BBCF47E3D7C}" srcOrd="0" destOrd="0" presId="urn:microsoft.com/office/officeart/2005/8/layout/orgChart1"/>
    <dgm:cxn modelId="{35DBC913-51B4-40BF-B094-48E36A0CF1D6}" type="presParOf" srcId="{F67D24FD-A65D-054F-931E-2BBCF47E3D7C}" destId="{AEF23838-4728-3440-A7E8-6885201C31FD}" srcOrd="0" destOrd="0" presId="urn:microsoft.com/office/officeart/2005/8/layout/orgChart1"/>
    <dgm:cxn modelId="{C6009490-E136-4273-97B5-F058AC0B02A8}" type="presParOf" srcId="{F67D24FD-A65D-054F-931E-2BBCF47E3D7C}" destId="{78895423-539B-8D47-883E-1411906B81EE}" srcOrd="1" destOrd="0" presId="urn:microsoft.com/office/officeart/2005/8/layout/orgChart1"/>
    <dgm:cxn modelId="{D9CCD8D1-C907-48E4-844A-428234691FA8}" type="presParOf" srcId="{885BC885-DBEB-384C-911E-695B0F1DD717}" destId="{64406AB4-9A70-5B40-8BEB-3C20FD660EF1}" srcOrd="1" destOrd="0" presId="urn:microsoft.com/office/officeart/2005/8/layout/orgChart1"/>
    <dgm:cxn modelId="{C5E39E5B-EF1E-4146-85DA-4171D2427B36}" type="presParOf" srcId="{885BC885-DBEB-384C-911E-695B0F1DD717}" destId="{5773A050-5E4A-4C46-9DCE-1D589625E972}" srcOrd="2" destOrd="0" presId="urn:microsoft.com/office/officeart/2005/8/layout/orgChart1"/>
    <dgm:cxn modelId="{21C5B7FC-5EFF-4818-B651-072CBFC96C34}" type="presParOf" srcId="{62FD9976-3068-1142-A141-2EDDBF16A1AF}" destId="{2E51ECE9-179A-A144-A695-C89AD6F42B3A}" srcOrd="2" destOrd="0" presId="urn:microsoft.com/office/officeart/2005/8/layout/orgChart1"/>
    <dgm:cxn modelId="{7ED1C543-4E78-4142-9266-EB7ED82E1ADC}" type="presParOf" srcId="{62FD9976-3068-1142-A141-2EDDBF16A1AF}" destId="{D9CBA92A-1279-4943-9EE2-172A0040FE48}" srcOrd="3" destOrd="0" presId="urn:microsoft.com/office/officeart/2005/8/layout/orgChart1"/>
    <dgm:cxn modelId="{B730AE61-DD6B-4E21-BE7D-5E9700867D04}" type="presParOf" srcId="{D9CBA92A-1279-4943-9EE2-172A0040FE48}" destId="{9A7FAD9A-FC72-DD4E-8C5E-01CC8FE67B0C}" srcOrd="0" destOrd="0" presId="urn:microsoft.com/office/officeart/2005/8/layout/orgChart1"/>
    <dgm:cxn modelId="{C54D9C9E-62D7-4468-8BA2-9DC572CF35A4}" type="presParOf" srcId="{9A7FAD9A-FC72-DD4E-8C5E-01CC8FE67B0C}" destId="{244204CA-A00F-074D-AE20-45D5E6B3B419}" srcOrd="0" destOrd="0" presId="urn:microsoft.com/office/officeart/2005/8/layout/orgChart1"/>
    <dgm:cxn modelId="{DD575C21-42B6-4A89-AF8E-4CD148267E23}" type="presParOf" srcId="{9A7FAD9A-FC72-DD4E-8C5E-01CC8FE67B0C}" destId="{D77C78D0-A086-204F-810F-D1CD8DADE364}" srcOrd="1" destOrd="0" presId="urn:microsoft.com/office/officeart/2005/8/layout/orgChart1"/>
    <dgm:cxn modelId="{DB7DC373-B0D8-4955-A1F3-FD7F388BCF8A}" type="presParOf" srcId="{D9CBA92A-1279-4943-9EE2-172A0040FE48}" destId="{979A4A99-2C33-B640-853F-6544E3F328AF}" srcOrd="1" destOrd="0" presId="urn:microsoft.com/office/officeart/2005/8/layout/orgChart1"/>
    <dgm:cxn modelId="{9A3E16EF-7B0D-40F5-88FC-7D7E214FF8E6}" type="presParOf" srcId="{D9CBA92A-1279-4943-9EE2-172A0040FE48}" destId="{39DF6DA9-923D-3B4D-83A6-7C72831EFCF4}" srcOrd="2" destOrd="0" presId="urn:microsoft.com/office/officeart/2005/8/layout/orgChart1"/>
    <dgm:cxn modelId="{7B6AA4CD-BAF9-483F-9025-A8953A8615B7}" type="presParOf" srcId="{62FD9976-3068-1142-A141-2EDDBF16A1AF}" destId="{2F2980F8-8D8E-9B49-8D03-CEC8DBC3B2AD}" srcOrd="4" destOrd="0" presId="urn:microsoft.com/office/officeart/2005/8/layout/orgChart1"/>
    <dgm:cxn modelId="{39E034D3-C55D-4027-9795-593F519B5B5F}" type="presParOf" srcId="{62FD9976-3068-1142-A141-2EDDBF16A1AF}" destId="{6C170957-000D-4642-A359-6B224CF835E1}" srcOrd="5" destOrd="0" presId="urn:microsoft.com/office/officeart/2005/8/layout/orgChart1"/>
    <dgm:cxn modelId="{62113A44-BD84-407C-A666-FB9080453ECA}" type="presParOf" srcId="{6C170957-000D-4642-A359-6B224CF835E1}" destId="{B5264826-7F13-ED41-9326-9114D9386531}" srcOrd="0" destOrd="0" presId="urn:microsoft.com/office/officeart/2005/8/layout/orgChart1"/>
    <dgm:cxn modelId="{D2492E79-E7DD-4FC6-B143-21095933F7DB}" type="presParOf" srcId="{B5264826-7F13-ED41-9326-9114D9386531}" destId="{23CEC855-65AE-414C-97B7-F7864DF51B43}" srcOrd="0" destOrd="0" presId="urn:microsoft.com/office/officeart/2005/8/layout/orgChart1"/>
    <dgm:cxn modelId="{FD2375BF-3728-4D08-B8D8-B669241736EF}" type="presParOf" srcId="{B5264826-7F13-ED41-9326-9114D9386531}" destId="{469A0AB5-C423-2C40-971C-572E64C67465}" srcOrd="1" destOrd="0" presId="urn:microsoft.com/office/officeart/2005/8/layout/orgChart1"/>
    <dgm:cxn modelId="{BEB3D27A-29EB-405B-B19E-8950F83FCB8B}" type="presParOf" srcId="{6C170957-000D-4642-A359-6B224CF835E1}" destId="{266D5B42-CDDE-C14B-A1F8-AB8E036A51DC}" srcOrd="1" destOrd="0" presId="urn:microsoft.com/office/officeart/2005/8/layout/orgChart1"/>
    <dgm:cxn modelId="{9FC7CF1B-0E26-4E55-9B7A-76EE6A7248CE}" type="presParOf" srcId="{6C170957-000D-4642-A359-6B224CF835E1}" destId="{FCA10F2F-8C5A-4D44-A4E3-A4DA0C41B9DF}" srcOrd="2" destOrd="0" presId="urn:microsoft.com/office/officeart/2005/8/layout/orgChart1"/>
    <dgm:cxn modelId="{6656C361-4731-40DB-83B2-FD91C051D762}" type="presParOf" srcId="{487DF582-77EA-B343-BC0C-A9FF3EAEAC4D}" destId="{BA3690F0-30D6-584F-904F-2CCC374D2799}" srcOrd="2" destOrd="0" presId="urn:microsoft.com/office/officeart/2005/8/layout/orgChart1"/>
    <dgm:cxn modelId="{62330752-82CF-40C9-889C-8876B63996A0}" type="presParOf" srcId="{BA3690F0-30D6-584F-904F-2CCC374D2799}" destId="{9390E6E4-099D-5749-BAF2-34E0457C099E}" srcOrd="0" destOrd="0" presId="urn:microsoft.com/office/officeart/2005/8/layout/orgChart1"/>
    <dgm:cxn modelId="{3CC8B215-584E-40DF-8664-C830447DC7BA}" type="presParOf" srcId="{BA3690F0-30D6-584F-904F-2CCC374D2799}" destId="{581628ED-1606-1A4C-A602-AD415661022E}" srcOrd="1" destOrd="0" presId="urn:microsoft.com/office/officeart/2005/8/layout/orgChart1"/>
    <dgm:cxn modelId="{B7BCA056-39BB-4B17-8393-31E42CD20EFA}" type="presParOf" srcId="{581628ED-1606-1A4C-A602-AD415661022E}" destId="{763444F3-7F66-5B4C-B2C7-77146D5F5EDE}" srcOrd="0" destOrd="0" presId="urn:microsoft.com/office/officeart/2005/8/layout/orgChart1"/>
    <dgm:cxn modelId="{3FB61D29-7D12-4954-B2D0-25807F4C7280}" type="presParOf" srcId="{763444F3-7F66-5B4C-B2C7-77146D5F5EDE}" destId="{A5BF6DA4-6717-6245-83D5-AD2D03E2E837}" srcOrd="0" destOrd="0" presId="urn:microsoft.com/office/officeart/2005/8/layout/orgChart1"/>
    <dgm:cxn modelId="{FD2D28DA-A76B-40BD-8497-8D0B06ECAE60}" type="presParOf" srcId="{763444F3-7F66-5B4C-B2C7-77146D5F5EDE}" destId="{780A8A21-F749-7C4A-8F5D-7CE0EB471AD7}" srcOrd="1" destOrd="0" presId="urn:microsoft.com/office/officeart/2005/8/layout/orgChart1"/>
    <dgm:cxn modelId="{3113340E-679B-4D72-BD03-ADEA05F5A17E}" type="presParOf" srcId="{581628ED-1606-1A4C-A602-AD415661022E}" destId="{B76F781E-338D-BA46-A89B-68B9CA5B8912}" srcOrd="1" destOrd="0" presId="urn:microsoft.com/office/officeart/2005/8/layout/orgChart1"/>
    <dgm:cxn modelId="{C7EF201A-A8B7-4C75-8222-EB780684E7F9}" type="presParOf" srcId="{581628ED-1606-1A4C-A602-AD415661022E}" destId="{C7599EF3-941F-B141-B15F-9D71FF9FB23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390E6E4-099D-5749-BAF2-34E0457C099E}">
      <dsp:nvSpPr>
        <dsp:cNvPr id="0" name=""/>
        <dsp:cNvSpPr/>
      </dsp:nvSpPr>
      <dsp:spPr>
        <a:xfrm>
          <a:off x="2890139" y="834691"/>
          <a:ext cx="175025" cy="766777"/>
        </a:xfrm>
        <a:custGeom>
          <a:avLst/>
          <a:gdLst/>
          <a:ahLst/>
          <a:cxnLst/>
          <a:rect l="0" t="0" r="0" b="0"/>
          <a:pathLst>
            <a:path>
              <a:moveTo>
                <a:pt x="175025" y="0"/>
              </a:moveTo>
              <a:lnTo>
                <a:pt x="175025" y="766777"/>
              </a:lnTo>
              <a:lnTo>
                <a:pt x="0" y="766777"/>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F2980F8-8D8E-9B49-8D03-CEC8DBC3B2AD}">
      <dsp:nvSpPr>
        <dsp:cNvPr id="0" name=""/>
        <dsp:cNvSpPr/>
      </dsp:nvSpPr>
      <dsp:spPr>
        <a:xfrm>
          <a:off x="3065165" y="834691"/>
          <a:ext cx="2016958" cy="1533555"/>
        </a:xfrm>
        <a:custGeom>
          <a:avLst/>
          <a:gdLst/>
          <a:ahLst/>
          <a:cxnLst/>
          <a:rect l="0" t="0" r="0" b="0"/>
          <a:pathLst>
            <a:path>
              <a:moveTo>
                <a:pt x="0" y="0"/>
              </a:moveTo>
              <a:lnTo>
                <a:pt x="0" y="1358529"/>
              </a:lnTo>
              <a:lnTo>
                <a:pt x="2016958" y="1358529"/>
              </a:lnTo>
              <a:lnTo>
                <a:pt x="2016958" y="1533555"/>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51ECE9-179A-A144-A695-C89AD6F42B3A}">
      <dsp:nvSpPr>
        <dsp:cNvPr id="0" name=""/>
        <dsp:cNvSpPr/>
      </dsp:nvSpPr>
      <dsp:spPr>
        <a:xfrm>
          <a:off x="3019445" y="834691"/>
          <a:ext cx="91440" cy="1533555"/>
        </a:xfrm>
        <a:custGeom>
          <a:avLst/>
          <a:gdLst/>
          <a:ahLst/>
          <a:cxnLst/>
          <a:rect l="0" t="0" r="0" b="0"/>
          <a:pathLst>
            <a:path>
              <a:moveTo>
                <a:pt x="45720" y="0"/>
              </a:moveTo>
              <a:lnTo>
                <a:pt x="45720" y="1533555"/>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4D01A6B-D52B-E84C-8123-81A7B7F12A48}">
      <dsp:nvSpPr>
        <dsp:cNvPr id="0" name=""/>
        <dsp:cNvSpPr/>
      </dsp:nvSpPr>
      <dsp:spPr>
        <a:xfrm>
          <a:off x="1048206" y="834691"/>
          <a:ext cx="2016958" cy="1533555"/>
        </a:xfrm>
        <a:custGeom>
          <a:avLst/>
          <a:gdLst/>
          <a:ahLst/>
          <a:cxnLst/>
          <a:rect l="0" t="0" r="0" b="0"/>
          <a:pathLst>
            <a:path>
              <a:moveTo>
                <a:pt x="2016958" y="0"/>
              </a:moveTo>
              <a:lnTo>
                <a:pt x="2016958" y="1358529"/>
              </a:lnTo>
              <a:lnTo>
                <a:pt x="0" y="1358529"/>
              </a:lnTo>
              <a:lnTo>
                <a:pt x="0" y="1533555"/>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70F5802-4606-7748-BEEC-CB6D934648A5}">
      <dsp:nvSpPr>
        <dsp:cNvPr id="0" name=""/>
        <dsp:cNvSpPr/>
      </dsp:nvSpPr>
      <dsp:spPr>
        <a:xfrm>
          <a:off x="2231711" y="1237"/>
          <a:ext cx="1666907" cy="833453"/>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GM/Owner</a:t>
          </a:r>
        </a:p>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$52,000</a:t>
          </a:r>
        </a:p>
      </dsp:txBody>
      <dsp:txXfrm>
        <a:off x="2231711" y="1237"/>
        <a:ext cx="1666907" cy="833453"/>
      </dsp:txXfrm>
    </dsp:sp>
    <dsp:sp modelId="{AEF23838-4728-3440-A7E8-6885201C31FD}">
      <dsp:nvSpPr>
        <dsp:cNvPr id="0" name=""/>
        <dsp:cNvSpPr/>
      </dsp:nvSpPr>
      <dsp:spPr>
        <a:xfrm>
          <a:off x="214752" y="2368247"/>
          <a:ext cx="1666907" cy="833453"/>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AM Barista</a:t>
          </a:r>
        </a:p>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$12/hr</a:t>
          </a:r>
        </a:p>
      </dsp:txBody>
      <dsp:txXfrm>
        <a:off x="214752" y="2368247"/>
        <a:ext cx="1666907" cy="833453"/>
      </dsp:txXfrm>
    </dsp:sp>
    <dsp:sp modelId="{244204CA-A00F-074D-AE20-45D5E6B3B419}">
      <dsp:nvSpPr>
        <dsp:cNvPr id="0" name=""/>
        <dsp:cNvSpPr/>
      </dsp:nvSpPr>
      <dsp:spPr>
        <a:xfrm>
          <a:off x="2231711" y="2368247"/>
          <a:ext cx="1666907" cy="833453"/>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PM Barista</a:t>
          </a:r>
        </a:p>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$12/hr</a:t>
          </a:r>
        </a:p>
      </dsp:txBody>
      <dsp:txXfrm>
        <a:off x="2231711" y="2368247"/>
        <a:ext cx="1666907" cy="833453"/>
      </dsp:txXfrm>
    </dsp:sp>
    <dsp:sp modelId="{23CEC855-65AE-414C-97B7-F7864DF51B43}">
      <dsp:nvSpPr>
        <dsp:cNvPr id="0" name=""/>
        <dsp:cNvSpPr/>
      </dsp:nvSpPr>
      <dsp:spPr>
        <a:xfrm>
          <a:off x="4248669" y="2368247"/>
          <a:ext cx="1666907" cy="833453"/>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AM Cook</a:t>
          </a:r>
        </a:p>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$12/hr</a:t>
          </a:r>
        </a:p>
      </dsp:txBody>
      <dsp:txXfrm>
        <a:off x="4248669" y="2368247"/>
        <a:ext cx="1666907" cy="833453"/>
      </dsp:txXfrm>
    </dsp:sp>
    <dsp:sp modelId="{A5BF6DA4-6717-6245-83D5-AD2D03E2E837}">
      <dsp:nvSpPr>
        <dsp:cNvPr id="0" name=""/>
        <dsp:cNvSpPr/>
      </dsp:nvSpPr>
      <dsp:spPr>
        <a:xfrm>
          <a:off x="1223231" y="1184742"/>
          <a:ext cx="1666907" cy="833453"/>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Asst Manager</a:t>
          </a:r>
        </a:p>
        <a:p>
          <a:pPr marL="0" lvl="0" indent="0" algn="ctr" defTabSz="1022350">
            <a:lnSpc>
              <a:spcPct val="90000"/>
            </a:lnSpc>
            <a:spcBef>
              <a:spcPct val="0"/>
            </a:spcBef>
            <a:spcAft>
              <a:spcPct val="35000"/>
            </a:spcAft>
            <a:buNone/>
          </a:pPr>
          <a:r>
            <a:rPr lang="en-US" sz="2300" kern="1200">
              <a:latin typeface="Times New Roman" panose="02020603050405020304" pitchFamily="18" charset="0"/>
              <a:cs typeface="Times New Roman" panose="02020603050405020304" pitchFamily="18" charset="0"/>
            </a:rPr>
            <a:t>$32,000</a:t>
          </a:r>
        </a:p>
      </dsp:txBody>
      <dsp:txXfrm>
        <a:off x="1223231" y="1184742"/>
        <a:ext cx="1666907" cy="833453"/>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Cash Flow Projection'!A1"/><Relationship Id="rId3" Type="http://schemas.openxmlformats.org/officeDocument/2006/relationships/hyperlink" Target="#'Hourly Labor'!A1"/><Relationship Id="rId7" Type="http://schemas.openxmlformats.org/officeDocument/2006/relationships/hyperlink" Target="#'Loan Amortization'!A1"/><Relationship Id="rId2" Type="http://schemas.openxmlformats.org/officeDocument/2006/relationships/hyperlink" Target="#Preopening!A1"/><Relationship Id="rId1" Type="http://schemas.openxmlformats.org/officeDocument/2006/relationships/hyperlink" Target="#'Menu Mix'!A1"/><Relationship Id="rId6" Type="http://schemas.openxmlformats.org/officeDocument/2006/relationships/hyperlink" Target="#'10 year IS'!A1"/><Relationship Id="rId11" Type="http://schemas.openxmlformats.org/officeDocument/2006/relationships/hyperlink" Target="#Valuation!A1"/><Relationship Id="rId5" Type="http://schemas.openxmlformats.org/officeDocument/2006/relationships/hyperlink" Target="#'Income Statement'!A1"/><Relationship Id="rId10" Type="http://schemas.openxmlformats.org/officeDocument/2006/relationships/hyperlink" Target="#Salaries!A1"/><Relationship Id="rId4" Type="http://schemas.openxmlformats.org/officeDocument/2006/relationships/hyperlink" Target="#'Monthly IS'!A1"/><Relationship Id="rId9" Type="http://schemas.openxmlformats.org/officeDocument/2006/relationships/hyperlink" Target="#'Hourly Customer'!A1"/></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63500</xdr:colOff>
      <xdr:row>1</xdr:row>
      <xdr:rowOff>127000</xdr:rowOff>
    </xdr:from>
    <xdr:to>
      <xdr:col>1</xdr:col>
      <xdr:colOff>977900</xdr:colOff>
      <xdr:row>1</xdr:row>
      <xdr:rowOff>355600</xdr:rowOff>
    </xdr:to>
    <xdr:sp macro="" textlink="">
      <xdr:nvSpPr>
        <xdr:cNvPr id="4" name="Rounded Rectangle 3">
          <a:hlinkClick xmlns:r="http://schemas.openxmlformats.org/officeDocument/2006/relationships" r:id="rId1" tooltip="Menu Mix"/>
          <a:extLst>
            <a:ext uri="{FF2B5EF4-FFF2-40B4-BE49-F238E27FC236}">
              <a16:creationId xmlns:a16="http://schemas.microsoft.com/office/drawing/2014/main" id="{2942BCB0-04A6-0D4E-9890-47E349AB2C5C}"/>
            </a:ext>
          </a:extLst>
        </xdr:cNvPr>
        <xdr:cNvSpPr/>
      </xdr:nvSpPr>
      <xdr:spPr>
        <a:xfrm>
          <a:off x="2743200" y="41910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twoCellAnchor>
    <xdr:from>
      <xdr:col>1</xdr:col>
      <xdr:colOff>63500</xdr:colOff>
      <xdr:row>4</xdr:row>
      <xdr:rowOff>130733</xdr:rowOff>
    </xdr:from>
    <xdr:to>
      <xdr:col>1</xdr:col>
      <xdr:colOff>977900</xdr:colOff>
      <xdr:row>4</xdr:row>
      <xdr:rowOff>359333</xdr:rowOff>
    </xdr:to>
    <xdr:sp macro="" textlink="">
      <xdr:nvSpPr>
        <xdr:cNvPr id="12" name="Rounded Rectangle 11">
          <a:hlinkClick xmlns:r="http://schemas.openxmlformats.org/officeDocument/2006/relationships" r:id="rId2" tooltip="Preopening"/>
          <a:extLst>
            <a:ext uri="{FF2B5EF4-FFF2-40B4-BE49-F238E27FC236}">
              <a16:creationId xmlns:a16="http://schemas.microsoft.com/office/drawing/2014/main" id="{639046A3-B48C-CD46-94FB-A5131CA4CEC8}"/>
            </a:ext>
          </a:extLst>
        </xdr:cNvPr>
        <xdr:cNvSpPr/>
      </xdr:nvSpPr>
      <xdr:spPr>
        <a:xfrm>
          <a:off x="2745441" y="2454086"/>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3</xdr:row>
      <xdr:rowOff>127005</xdr:rowOff>
    </xdr:from>
    <xdr:to>
      <xdr:col>1</xdr:col>
      <xdr:colOff>977900</xdr:colOff>
      <xdr:row>3</xdr:row>
      <xdr:rowOff>355605</xdr:rowOff>
    </xdr:to>
    <xdr:sp macro="" textlink="">
      <xdr:nvSpPr>
        <xdr:cNvPr id="13" name="Rounded Rectangle 12">
          <a:hlinkClick xmlns:r="http://schemas.openxmlformats.org/officeDocument/2006/relationships" r:id="rId3" tooltip="Hourly Labor"/>
          <a:extLst>
            <a:ext uri="{FF2B5EF4-FFF2-40B4-BE49-F238E27FC236}">
              <a16:creationId xmlns:a16="http://schemas.microsoft.com/office/drawing/2014/main" id="{D620F3F4-EFAC-6A4A-B103-E8EDB203B470}"/>
            </a:ext>
          </a:extLst>
        </xdr:cNvPr>
        <xdr:cNvSpPr/>
      </xdr:nvSpPr>
      <xdr:spPr>
        <a:xfrm>
          <a:off x="2745441" y="1942358"/>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twoCellAnchor>
    <xdr:from>
      <xdr:col>1</xdr:col>
      <xdr:colOff>63500</xdr:colOff>
      <xdr:row>6</xdr:row>
      <xdr:rowOff>146429</xdr:rowOff>
    </xdr:from>
    <xdr:to>
      <xdr:col>1</xdr:col>
      <xdr:colOff>977900</xdr:colOff>
      <xdr:row>6</xdr:row>
      <xdr:rowOff>375029</xdr:rowOff>
    </xdr:to>
    <xdr:sp macro="" textlink="">
      <xdr:nvSpPr>
        <xdr:cNvPr id="14" name="Rounded Rectangle 13">
          <a:hlinkClick xmlns:r="http://schemas.openxmlformats.org/officeDocument/2006/relationships" r:id="rId4" tooltip="Monthly Income Statement"/>
          <a:extLst>
            <a:ext uri="{FF2B5EF4-FFF2-40B4-BE49-F238E27FC236}">
              <a16:creationId xmlns:a16="http://schemas.microsoft.com/office/drawing/2014/main" id="{A1A74992-C3BC-E448-AD9D-16E926078654}"/>
            </a:ext>
          </a:extLst>
        </xdr:cNvPr>
        <xdr:cNvSpPr/>
      </xdr:nvSpPr>
      <xdr:spPr>
        <a:xfrm>
          <a:off x="2745441" y="3485782"/>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5</xdr:row>
      <xdr:rowOff>103095</xdr:rowOff>
    </xdr:from>
    <xdr:to>
      <xdr:col>1</xdr:col>
      <xdr:colOff>977900</xdr:colOff>
      <xdr:row>5</xdr:row>
      <xdr:rowOff>331695</xdr:rowOff>
    </xdr:to>
    <xdr:sp macro="" textlink="">
      <xdr:nvSpPr>
        <xdr:cNvPr id="15" name="Rounded Rectangle 14">
          <a:hlinkClick xmlns:r="http://schemas.openxmlformats.org/officeDocument/2006/relationships" r:id="rId5" tooltip="Income Statement"/>
          <a:extLst>
            <a:ext uri="{FF2B5EF4-FFF2-40B4-BE49-F238E27FC236}">
              <a16:creationId xmlns:a16="http://schemas.microsoft.com/office/drawing/2014/main" id="{92C1912F-839D-ED49-81AE-D82069ECCD2E}"/>
            </a:ext>
          </a:extLst>
        </xdr:cNvPr>
        <xdr:cNvSpPr/>
      </xdr:nvSpPr>
      <xdr:spPr>
        <a:xfrm>
          <a:off x="2745441" y="2934448"/>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7</xdr:row>
      <xdr:rowOff>146426</xdr:rowOff>
    </xdr:from>
    <xdr:to>
      <xdr:col>1</xdr:col>
      <xdr:colOff>977900</xdr:colOff>
      <xdr:row>7</xdr:row>
      <xdr:rowOff>375026</xdr:rowOff>
    </xdr:to>
    <xdr:sp macro="" textlink="">
      <xdr:nvSpPr>
        <xdr:cNvPr id="16" name="Rounded Rectangle 15">
          <a:hlinkClick xmlns:r="http://schemas.openxmlformats.org/officeDocument/2006/relationships" r:id="rId6" tooltip="10-year Income Statement"/>
          <a:extLst>
            <a:ext uri="{FF2B5EF4-FFF2-40B4-BE49-F238E27FC236}">
              <a16:creationId xmlns:a16="http://schemas.microsoft.com/office/drawing/2014/main" id="{F467A3A8-2E52-AB4C-BA2F-2FAF8676EBBD}"/>
            </a:ext>
          </a:extLst>
        </xdr:cNvPr>
        <xdr:cNvSpPr/>
      </xdr:nvSpPr>
      <xdr:spPr>
        <a:xfrm>
          <a:off x="2745441" y="3993779"/>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8</xdr:row>
      <xdr:rowOff>147177</xdr:rowOff>
    </xdr:from>
    <xdr:to>
      <xdr:col>1</xdr:col>
      <xdr:colOff>977900</xdr:colOff>
      <xdr:row>8</xdr:row>
      <xdr:rowOff>375777</xdr:rowOff>
    </xdr:to>
    <xdr:sp macro="" textlink="">
      <xdr:nvSpPr>
        <xdr:cNvPr id="17" name="Rounded Rectangle 16">
          <a:hlinkClick xmlns:r="http://schemas.openxmlformats.org/officeDocument/2006/relationships" r:id="rId7" tooltip="Loan Amortization"/>
          <a:extLst>
            <a:ext uri="{FF2B5EF4-FFF2-40B4-BE49-F238E27FC236}">
              <a16:creationId xmlns:a16="http://schemas.microsoft.com/office/drawing/2014/main" id="{F0700CE5-B9BB-664F-BC6B-8D545F6F74AE}"/>
            </a:ext>
          </a:extLst>
        </xdr:cNvPr>
        <xdr:cNvSpPr/>
      </xdr:nvSpPr>
      <xdr:spPr>
        <a:xfrm>
          <a:off x="2745441" y="450253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9</xdr:row>
      <xdr:rowOff>144929</xdr:rowOff>
    </xdr:from>
    <xdr:to>
      <xdr:col>1</xdr:col>
      <xdr:colOff>977900</xdr:colOff>
      <xdr:row>9</xdr:row>
      <xdr:rowOff>373529</xdr:rowOff>
    </xdr:to>
    <xdr:sp macro="" textlink="">
      <xdr:nvSpPr>
        <xdr:cNvPr id="18" name="Rounded Rectangle 17">
          <a:hlinkClick xmlns:r="http://schemas.openxmlformats.org/officeDocument/2006/relationships" r:id="rId8" tooltip="Cash Flow Projection"/>
          <a:extLst>
            <a:ext uri="{FF2B5EF4-FFF2-40B4-BE49-F238E27FC236}">
              <a16:creationId xmlns:a16="http://schemas.microsoft.com/office/drawing/2014/main" id="{CA572D46-4BA6-C343-9E5E-04DEE1B4E418}"/>
            </a:ext>
          </a:extLst>
        </xdr:cNvPr>
        <xdr:cNvSpPr/>
      </xdr:nvSpPr>
      <xdr:spPr>
        <a:xfrm>
          <a:off x="2745441" y="5008282"/>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10</xdr:row>
      <xdr:rowOff>152400</xdr:rowOff>
    </xdr:from>
    <xdr:to>
      <xdr:col>1</xdr:col>
      <xdr:colOff>977900</xdr:colOff>
      <xdr:row>10</xdr:row>
      <xdr:rowOff>381000</xdr:rowOff>
    </xdr:to>
    <xdr:sp macro="" textlink="">
      <xdr:nvSpPr>
        <xdr:cNvPr id="19" name="Rounded Rectangle 18">
          <a:hlinkClick xmlns:r="http://schemas.openxmlformats.org/officeDocument/2006/relationships" r:id="rId7" tooltip="Valuation"/>
          <a:extLst>
            <a:ext uri="{FF2B5EF4-FFF2-40B4-BE49-F238E27FC236}">
              <a16:creationId xmlns:a16="http://schemas.microsoft.com/office/drawing/2014/main" id="{3A813575-1E49-7F4D-AB70-34A8D8AD2AAD}"/>
            </a:ext>
          </a:extLst>
        </xdr:cNvPr>
        <xdr:cNvSpPr/>
      </xdr:nvSpPr>
      <xdr:spPr>
        <a:xfrm>
          <a:off x="2743200" y="552450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61259</xdr:colOff>
      <xdr:row>2</xdr:row>
      <xdr:rowOff>135217</xdr:rowOff>
    </xdr:from>
    <xdr:to>
      <xdr:col>1</xdr:col>
      <xdr:colOff>975659</xdr:colOff>
      <xdr:row>2</xdr:row>
      <xdr:rowOff>363817</xdr:rowOff>
    </xdr:to>
    <xdr:sp macro="" textlink="">
      <xdr:nvSpPr>
        <xdr:cNvPr id="20" name="Rounded Rectangle 19">
          <a:hlinkClick xmlns:r="http://schemas.openxmlformats.org/officeDocument/2006/relationships" r:id="rId9" tooltip="Hourly Customer"/>
          <a:extLst>
            <a:ext uri="{FF2B5EF4-FFF2-40B4-BE49-F238E27FC236}">
              <a16:creationId xmlns:a16="http://schemas.microsoft.com/office/drawing/2014/main" id="{F873B0DF-56A6-0848-86C9-65EEC633E8B5}"/>
            </a:ext>
          </a:extLst>
        </xdr:cNvPr>
        <xdr:cNvSpPr/>
      </xdr:nvSpPr>
      <xdr:spPr>
        <a:xfrm>
          <a:off x="2743200" y="93457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twoCellAnchor>
    <xdr:from>
      <xdr:col>1</xdr:col>
      <xdr:colOff>63500</xdr:colOff>
      <xdr:row>1</xdr:row>
      <xdr:rowOff>127000</xdr:rowOff>
    </xdr:from>
    <xdr:to>
      <xdr:col>1</xdr:col>
      <xdr:colOff>977900</xdr:colOff>
      <xdr:row>1</xdr:row>
      <xdr:rowOff>355600</xdr:rowOff>
    </xdr:to>
    <xdr:sp macro="" textlink="">
      <xdr:nvSpPr>
        <xdr:cNvPr id="21" name="Rounded Rectangle 20">
          <a:hlinkClick xmlns:r="http://schemas.openxmlformats.org/officeDocument/2006/relationships" r:id="rId1" tooltip="Menu Mix"/>
          <a:extLst>
            <a:ext uri="{FF2B5EF4-FFF2-40B4-BE49-F238E27FC236}">
              <a16:creationId xmlns:a16="http://schemas.microsoft.com/office/drawing/2014/main" id="{D963A746-9B13-BC43-BC79-68EC4F6E1330}"/>
            </a:ext>
          </a:extLst>
        </xdr:cNvPr>
        <xdr:cNvSpPr/>
      </xdr:nvSpPr>
      <xdr:spPr>
        <a:xfrm>
          <a:off x="2743200" y="57150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twoCellAnchor>
    <xdr:from>
      <xdr:col>1</xdr:col>
      <xdr:colOff>63500</xdr:colOff>
      <xdr:row>3</xdr:row>
      <xdr:rowOff>145677</xdr:rowOff>
    </xdr:from>
    <xdr:to>
      <xdr:col>1</xdr:col>
      <xdr:colOff>977900</xdr:colOff>
      <xdr:row>3</xdr:row>
      <xdr:rowOff>374277</xdr:rowOff>
    </xdr:to>
    <xdr:sp macro="" textlink="">
      <xdr:nvSpPr>
        <xdr:cNvPr id="22" name="Rounded Rectangle 21">
          <a:hlinkClick xmlns:r="http://schemas.openxmlformats.org/officeDocument/2006/relationships" r:id="rId10" tooltip="Salaries"/>
          <a:extLst>
            <a:ext uri="{FF2B5EF4-FFF2-40B4-BE49-F238E27FC236}">
              <a16:creationId xmlns:a16="http://schemas.microsoft.com/office/drawing/2014/main" id="{CC8396ED-22B2-5746-B658-1421B38D487E}"/>
            </a:ext>
          </a:extLst>
        </xdr:cNvPr>
        <xdr:cNvSpPr/>
      </xdr:nvSpPr>
      <xdr:spPr>
        <a:xfrm>
          <a:off x="2743200" y="2114177"/>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twoCellAnchor>
    <xdr:from>
      <xdr:col>1</xdr:col>
      <xdr:colOff>63500</xdr:colOff>
      <xdr:row>4</xdr:row>
      <xdr:rowOff>130733</xdr:rowOff>
    </xdr:from>
    <xdr:to>
      <xdr:col>1</xdr:col>
      <xdr:colOff>977900</xdr:colOff>
      <xdr:row>4</xdr:row>
      <xdr:rowOff>359333</xdr:rowOff>
    </xdr:to>
    <xdr:sp macro="" textlink="">
      <xdr:nvSpPr>
        <xdr:cNvPr id="23" name="Rounded Rectangle 22">
          <a:hlinkClick xmlns:r="http://schemas.openxmlformats.org/officeDocument/2006/relationships" r:id="rId2" tooltip="Preopening"/>
          <a:extLst>
            <a:ext uri="{FF2B5EF4-FFF2-40B4-BE49-F238E27FC236}">
              <a16:creationId xmlns:a16="http://schemas.microsoft.com/office/drawing/2014/main" id="{ED528506-F0F9-C94F-9E30-600A8FA2EAA7}"/>
            </a:ext>
          </a:extLst>
        </xdr:cNvPr>
        <xdr:cNvSpPr/>
      </xdr:nvSpPr>
      <xdr:spPr>
        <a:xfrm>
          <a:off x="2743200" y="2607233"/>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6</xdr:row>
      <xdr:rowOff>146429</xdr:rowOff>
    </xdr:from>
    <xdr:to>
      <xdr:col>1</xdr:col>
      <xdr:colOff>977900</xdr:colOff>
      <xdr:row>6</xdr:row>
      <xdr:rowOff>375029</xdr:rowOff>
    </xdr:to>
    <xdr:sp macro="" textlink="">
      <xdr:nvSpPr>
        <xdr:cNvPr id="25" name="Rounded Rectangle 24">
          <a:hlinkClick xmlns:r="http://schemas.openxmlformats.org/officeDocument/2006/relationships" r:id="rId4" tooltip="Monthly Income Statement"/>
          <a:extLst>
            <a:ext uri="{FF2B5EF4-FFF2-40B4-BE49-F238E27FC236}">
              <a16:creationId xmlns:a16="http://schemas.microsoft.com/office/drawing/2014/main" id="{4E9584C5-B4F1-A34A-92BF-ECC70CAEE360}"/>
            </a:ext>
          </a:extLst>
        </xdr:cNvPr>
        <xdr:cNvSpPr/>
      </xdr:nvSpPr>
      <xdr:spPr>
        <a:xfrm>
          <a:off x="2743200" y="3638929"/>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5</xdr:row>
      <xdr:rowOff>103095</xdr:rowOff>
    </xdr:from>
    <xdr:to>
      <xdr:col>1</xdr:col>
      <xdr:colOff>977900</xdr:colOff>
      <xdr:row>5</xdr:row>
      <xdr:rowOff>331695</xdr:rowOff>
    </xdr:to>
    <xdr:sp macro="" textlink="">
      <xdr:nvSpPr>
        <xdr:cNvPr id="26" name="Rounded Rectangle 25">
          <a:hlinkClick xmlns:r="http://schemas.openxmlformats.org/officeDocument/2006/relationships" r:id="rId5" tooltip="Income Statement"/>
          <a:extLst>
            <a:ext uri="{FF2B5EF4-FFF2-40B4-BE49-F238E27FC236}">
              <a16:creationId xmlns:a16="http://schemas.microsoft.com/office/drawing/2014/main" id="{B03B98B6-BA91-D146-AD69-4F2020B99A66}"/>
            </a:ext>
          </a:extLst>
        </xdr:cNvPr>
        <xdr:cNvSpPr/>
      </xdr:nvSpPr>
      <xdr:spPr>
        <a:xfrm>
          <a:off x="2743200" y="3087595"/>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7</xdr:row>
      <xdr:rowOff>146426</xdr:rowOff>
    </xdr:from>
    <xdr:to>
      <xdr:col>1</xdr:col>
      <xdr:colOff>977900</xdr:colOff>
      <xdr:row>7</xdr:row>
      <xdr:rowOff>375026</xdr:rowOff>
    </xdr:to>
    <xdr:sp macro="" textlink="">
      <xdr:nvSpPr>
        <xdr:cNvPr id="27" name="Rounded Rectangle 26">
          <a:hlinkClick xmlns:r="http://schemas.openxmlformats.org/officeDocument/2006/relationships" r:id="rId6" tooltip="10-year Income Statement"/>
          <a:extLst>
            <a:ext uri="{FF2B5EF4-FFF2-40B4-BE49-F238E27FC236}">
              <a16:creationId xmlns:a16="http://schemas.microsoft.com/office/drawing/2014/main" id="{0CDEF640-CBEC-164B-8A01-321FB9159B8D}"/>
            </a:ext>
          </a:extLst>
        </xdr:cNvPr>
        <xdr:cNvSpPr/>
      </xdr:nvSpPr>
      <xdr:spPr>
        <a:xfrm>
          <a:off x="2743200" y="4146926"/>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8</xdr:row>
      <xdr:rowOff>147177</xdr:rowOff>
    </xdr:from>
    <xdr:to>
      <xdr:col>1</xdr:col>
      <xdr:colOff>977900</xdr:colOff>
      <xdr:row>8</xdr:row>
      <xdr:rowOff>375777</xdr:rowOff>
    </xdr:to>
    <xdr:sp macro="" textlink="">
      <xdr:nvSpPr>
        <xdr:cNvPr id="28" name="Rounded Rectangle 27">
          <a:hlinkClick xmlns:r="http://schemas.openxmlformats.org/officeDocument/2006/relationships" r:id="rId7" tooltip="Loan Amortization"/>
          <a:extLst>
            <a:ext uri="{FF2B5EF4-FFF2-40B4-BE49-F238E27FC236}">
              <a16:creationId xmlns:a16="http://schemas.microsoft.com/office/drawing/2014/main" id="{00DE24A2-103F-E045-BB8B-4F255234DC91}"/>
            </a:ext>
          </a:extLst>
        </xdr:cNvPr>
        <xdr:cNvSpPr/>
      </xdr:nvSpPr>
      <xdr:spPr>
        <a:xfrm>
          <a:off x="2743200" y="4655677"/>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9</xdr:row>
      <xdr:rowOff>144929</xdr:rowOff>
    </xdr:from>
    <xdr:to>
      <xdr:col>1</xdr:col>
      <xdr:colOff>977900</xdr:colOff>
      <xdr:row>9</xdr:row>
      <xdr:rowOff>373529</xdr:rowOff>
    </xdr:to>
    <xdr:sp macro="" textlink="">
      <xdr:nvSpPr>
        <xdr:cNvPr id="29" name="Rounded Rectangle 28">
          <a:hlinkClick xmlns:r="http://schemas.openxmlformats.org/officeDocument/2006/relationships" r:id="rId8" tooltip="Cash Flow Projection"/>
          <a:extLst>
            <a:ext uri="{FF2B5EF4-FFF2-40B4-BE49-F238E27FC236}">
              <a16:creationId xmlns:a16="http://schemas.microsoft.com/office/drawing/2014/main" id="{A8A497DD-C082-044D-A170-6FE5CF50258B}"/>
            </a:ext>
          </a:extLst>
        </xdr:cNvPr>
        <xdr:cNvSpPr/>
      </xdr:nvSpPr>
      <xdr:spPr>
        <a:xfrm>
          <a:off x="2743200" y="5161429"/>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63500</xdr:colOff>
      <xdr:row>10</xdr:row>
      <xdr:rowOff>152400</xdr:rowOff>
    </xdr:from>
    <xdr:to>
      <xdr:col>1</xdr:col>
      <xdr:colOff>977900</xdr:colOff>
      <xdr:row>10</xdr:row>
      <xdr:rowOff>381000</xdr:rowOff>
    </xdr:to>
    <xdr:sp macro="" textlink="">
      <xdr:nvSpPr>
        <xdr:cNvPr id="30" name="Rounded Rectangle 29">
          <a:hlinkClick xmlns:r="http://schemas.openxmlformats.org/officeDocument/2006/relationships" r:id="rId11" tooltip="Valuation"/>
          <a:extLst>
            <a:ext uri="{FF2B5EF4-FFF2-40B4-BE49-F238E27FC236}">
              <a16:creationId xmlns:a16="http://schemas.microsoft.com/office/drawing/2014/main" id="{E8555BF5-D471-B847-BCC0-991A6CDECEA8}"/>
            </a:ext>
          </a:extLst>
        </xdr:cNvPr>
        <xdr:cNvSpPr/>
      </xdr:nvSpPr>
      <xdr:spPr>
        <a:xfrm>
          <a:off x="2743200" y="5676900"/>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Times New Roman" panose="02020603050405020304" pitchFamily="18" charset="0"/>
              <a:cs typeface="Times New Roman" panose="02020603050405020304" pitchFamily="18" charset="0"/>
            </a:rPr>
            <a:t>Go to sheet</a:t>
          </a:r>
        </a:p>
      </xdr:txBody>
    </xdr:sp>
    <xdr:clientData/>
  </xdr:twoCellAnchor>
  <xdr:twoCellAnchor>
    <xdr:from>
      <xdr:col>1</xdr:col>
      <xdr:colOff>61259</xdr:colOff>
      <xdr:row>2</xdr:row>
      <xdr:rowOff>135217</xdr:rowOff>
    </xdr:from>
    <xdr:to>
      <xdr:col>1</xdr:col>
      <xdr:colOff>975659</xdr:colOff>
      <xdr:row>2</xdr:row>
      <xdr:rowOff>363817</xdr:rowOff>
    </xdr:to>
    <xdr:sp macro="" textlink="">
      <xdr:nvSpPr>
        <xdr:cNvPr id="31" name="Rounded Rectangle 30">
          <a:hlinkClick xmlns:r="http://schemas.openxmlformats.org/officeDocument/2006/relationships" r:id="rId9" tooltip="Hourly Customer"/>
          <a:extLst>
            <a:ext uri="{FF2B5EF4-FFF2-40B4-BE49-F238E27FC236}">
              <a16:creationId xmlns:a16="http://schemas.microsoft.com/office/drawing/2014/main" id="{005253D1-A620-B940-9E99-6F74FB0584AE}"/>
            </a:ext>
          </a:extLst>
        </xdr:cNvPr>
        <xdr:cNvSpPr/>
      </xdr:nvSpPr>
      <xdr:spPr>
        <a:xfrm>
          <a:off x="2740959" y="1087717"/>
          <a:ext cx="914400" cy="22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a:solidFill>
                <a:schemeClr val="lt1"/>
              </a:solidFill>
              <a:latin typeface="Times New Roman" panose="02020603050405020304" pitchFamily="18" charset="0"/>
              <a:ea typeface="+mn-ea"/>
              <a:cs typeface="Times New Roman" panose="02020603050405020304" pitchFamily="18" charset="0"/>
            </a:rPr>
            <a:t>Go to 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1519</xdr:colOff>
      <xdr:row>11</xdr:row>
      <xdr:rowOff>4141</xdr:rowOff>
    </xdr:from>
    <xdr:to>
      <xdr:col>20</xdr:col>
      <xdr:colOff>382813</xdr:colOff>
      <xdr:row>51</xdr:row>
      <xdr:rowOff>106293</xdr:rowOff>
    </xdr:to>
    <xdr:sp macro="" textlink="">
      <xdr:nvSpPr>
        <xdr:cNvPr id="2" name="TextBox 1">
          <a:extLst>
            <a:ext uri="{FF2B5EF4-FFF2-40B4-BE49-F238E27FC236}">
              <a16:creationId xmlns:a16="http://schemas.microsoft.com/office/drawing/2014/main" id="{00F96F90-1D63-E541-89D9-7098AF0D01B0}"/>
            </a:ext>
          </a:extLst>
        </xdr:cNvPr>
        <xdr:cNvSpPr txBox="1"/>
      </xdr:nvSpPr>
      <xdr:spPr>
        <a:xfrm>
          <a:off x="8745469" y="2118691"/>
          <a:ext cx="7210719" cy="7150652"/>
        </a:xfrm>
        <a:prstGeom prst="rect">
          <a:avLst/>
        </a:prstGeom>
        <a:solidFill>
          <a:schemeClr val="accent3">
            <a:lumMod val="40000"/>
            <a:lumOff val="60000"/>
          </a:schemeClr>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u="sng">
              <a:solidFill>
                <a:srgbClr val="0000FF"/>
              </a:solidFill>
              <a:latin typeface="Times New Roman" panose="02020603050405020304" pitchFamily="18" charset="0"/>
              <a:cs typeface="Times New Roman" panose="02020603050405020304" pitchFamily="18" charset="0"/>
            </a:rPr>
            <a:t>Assumptions</a:t>
          </a:r>
        </a:p>
        <a:p>
          <a:endParaRPr lang="en-US" sz="120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Servers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server per 5 tables (30 guests)</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 server per 3 tables (9 - 10 guests)</a:t>
          </a: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Server Assistants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server assistant per 10 tables (30 - 40 guests)</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 server assistant per 5 tables (15</a:t>
          </a:r>
          <a:r>
            <a:rPr lang="en-US" sz="1200" baseline="0">
              <a:latin typeface="Times New Roman" panose="02020603050405020304" pitchFamily="18" charset="0"/>
              <a:cs typeface="Times New Roman" panose="02020603050405020304" pitchFamily="18" charset="0"/>
            </a:rPr>
            <a:t> - 20 </a:t>
          </a:r>
          <a:r>
            <a:rPr lang="en-US" sz="1200">
              <a:latin typeface="Times New Roman" panose="02020603050405020304" pitchFamily="18" charset="0"/>
              <a:cs typeface="Times New Roman" panose="02020603050405020304" pitchFamily="18" charset="0"/>
            </a:rPr>
            <a:t>guests)</a:t>
          </a: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Hosts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 </a:t>
          </a:r>
          <a:r>
            <a:rPr lang="en-US" sz="1200" baseline="0">
              <a:latin typeface="Times New Roman" panose="02020603050405020304" pitchFamily="18" charset="0"/>
              <a:cs typeface="Times New Roman" panose="02020603050405020304" pitchFamily="18" charset="0"/>
            </a:rPr>
            <a:t>host per 75 guests</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 </a:t>
          </a:r>
          <a:r>
            <a:rPr lang="en-US" sz="1200" baseline="0">
              <a:latin typeface="Times New Roman" panose="02020603050405020304" pitchFamily="18" charset="0"/>
              <a:cs typeface="Times New Roman" panose="02020603050405020304" pitchFamily="18" charset="0"/>
            </a:rPr>
            <a:t>host per 25 guests</a:t>
          </a:r>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Bartenders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bartender per 65 guests</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 </a:t>
          </a:r>
          <a:r>
            <a:rPr lang="en-US" sz="1200" baseline="0">
              <a:latin typeface="Times New Roman" panose="02020603050405020304" pitchFamily="18" charset="0"/>
              <a:cs typeface="Times New Roman" panose="02020603050405020304" pitchFamily="18" charset="0"/>
            </a:rPr>
            <a:t>bartender per 30 guests</a:t>
          </a:r>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Cooks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cook per 30 - 40 guests per shift</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cook per 7 - 10 guests per shift</a:t>
          </a:r>
        </a:p>
        <a:p>
          <a:pPr marL="628650" lvl="1" indent="-171450">
            <a:buFont typeface="Arial" panose="020B0604020202020204" pitchFamily="34" charset="0"/>
            <a:buChar char="•"/>
          </a:pPr>
          <a:endParaRPr lang="en-US" sz="1200" baseline="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Dishwashers</a:t>
          </a:r>
        </a:p>
        <a:p>
          <a:pPr marL="17145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Casual</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dishwasher per 100 guests per shift</a:t>
          </a:r>
        </a:p>
        <a:p>
          <a:pPr marL="171450" lvl="0"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Fine Dining</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dishwasher per 60 guests per shift</a:t>
          </a:r>
        </a:p>
        <a:p>
          <a:pPr marL="628650" lvl="1" indent="-171450">
            <a:buFont typeface="Arial" panose="020B0604020202020204" pitchFamily="34" charset="0"/>
            <a:buChar char="•"/>
          </a:pPr>
          <a:endParaRPr lang="en-US" sz="1200" baseline="0">
            <a:latin typeface="Times New Roman" panose="02020603050405020304" pitchFamily="18" charset="0"/>
            <a:cs typeface="Times New Roman" panose="02020603050405020304" pitchFamily="18" charset="0"/>
          </a:endParaRPr>
        </a:p>
        <a:p>
          <a:endParaRPr lang="en-US" sz="1200" b="1" i="1" u="none">
            <a:latin typeface="Times New Roman" panose="02020603050405020304" pitchFamily="18" charset="0"/>
            <a:cs typeface="Times New Roman" panose="02020603050405020304" pitchFamily="18" charset="0"/>
          </a:endParaRPr>
        </a:p>
        <a:p>
          <a:r>
            <a:rPr lang="en-US" sz="1200" b="1" i="1" u="none">
              <a:latin typeface="Times New Roman" panose="02020603050405020304" pitchFamily="18" charset="0"/>
              <a:cs typeface="Times New Roman" panose="02020603050405020304" pitchFamily="18" charset="0"/>
            </a:rPr>
            <a:t>Note** These are all general</a:t>
          </a:r>
          <a:r>
            <a:rPr lang="en-US" sz="1200" b="1" i="1" u="none" baseline="0">
              <a:latin typeface="Times New Roman" panose="02020603050405020304" pitchFamily="18" charset="0"/>
              <a:cs typeface="Times New Roman" panose="02020603050405020304" pitchFamily="18" charset="0"/>
            </a:rPr>
            <a:t> rules of thumb for casual and fine-dining style restaurants. The mix of positions needed will be entirely dependent on the type of restaurant you are operating and the style of service you wish to offer your guests. </a:t>
          </a:r>
          <a:endParaRPr lang="en-US" sz="1200" b="1" i="1" u="none">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480925</xdr:colOff>
      <xdr:row>23</xdr:row>
      <xdr:rowOff>126696</xdr:rowOff>
    </xdr:from>
    <xdr:to>
      <xdr:col>7</xdr:col>
      <xdr:colOff>1429655</xdr:colOff>
      <xdr:row>41</xdr:row>
      <xdr:rowOff>129235</xdr:rowOff>
    </xdr:to>
    <xdr:graphicFrame macro="">
      <xdr:nvGraphicFramePr>
        <xdr:cNvPr id="2" name="Diagram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23495</xdr:colOff>
      <xdr:row>9</xdr:row>
      <xdr:rowOff>18836</xdr:rowOff>
    </xdr:from>
    <xdr:to>
      <xdr:col>8</xdr:col>
      <xdr:colOff>0</xdr:colOff>
      <xdr:row>14</xdr:row>
      <xdr:rowOff>179914</xdr:rowOff>
    </xdr:to>
    <xdr:sp macro="" textlink="">
      <xdr:nvSpPr>
        <xdr:cNvPr id="3" name="TextBox 2">
          <a:extLst>
            <a:ext uri="{FF2B5EF4-FFF2-40B4-BE49-F238E27FC236}">
              <a16:creationId xmlns:a16="http://schemas.microsoft.com/office/drawing/2014/main" id="{F2966EE8-6F83-214D-852D-6BB5A05BEE1A}"/>
            </a:ext>
          </a:extLst>
        </xdr:cNvPr>
        <xdr:cNvSpPr txBox="1"/>
      </xdr:nvSpPr>
      <xdr:spPr>
        <a:xfrm>
          <a:off x="5547995" y="1733336"/>
          <a:ext cx="1144905" cy="1050078"/>
        </a:xfrm>
        <a:prstGeom prst="rect">
          <a:avLst/>
        </a:prstGeom>
        <a:solidFill>
          <a:schemeClr val="accent1">
            <a:lumMod val="20000"/>
            <a:lumOff val="80000"/>
          </a:schemeClr>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100"/>
            </a:lnSpc>
          </a:pPr>
          <a:r>
            <a:rPr lang="en-US" sz="1000"/>
            <a:t>Once the business stops growing, </a:t>
          </a:r>
          <a:r>
            <a:rPr lang="en-US" sz="1000" baseline="0"/>
            <a:t>the FCF remains the same  --&gt;  (</a:t>
          </a:r>
          <a:r>
            <a:rPr lang="en-US" sz="1000" b="1" baseline="0"/>
            <a:t>perpetuity):</a:t>
          </a:r>
        </a:p>
        <a:p>
          <a:r>
            <a:rPr lang="en-US" sz="1000" b="1" baseline="0"/>
            <a:t>Determine its PV at that time.</a:t>
          </a:r>
          <a:endParaRPr lang="en-US" sz="10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AB5A-8575-A04E-BDAA-73DF39303E77}">
  <dimension ref="B2:C5"/>
  <sheetViews>
    <sheetView workbookViewId="0">
      <selection activeCell="C18" sqref="C18"/>
    </sheetView>
  </sheetViews>
  <sheetFormatPr baseColWidth="10" defaultColWidth="11.5" defaultRowHeight="15" x14ac:dyDescent="0.2"/>
  <cols>
    <col min="2" max="2" width="25.33203125" bestFit="1" customWidth="1"/>
    <col min="3" max="3" width="62.33203125" customWidth="1"/>
  </cols>
  <sheetData>
    <row r="2" spans="2:3" ht="23" x14ac:dyDescent="0.2">
      <c r="B2" s="306" t="s">
        <v>0</v>
      </c>
      <c r="C2" s="306"/>
    </row>
    <row r="3" spans="2:3" ht="23" x14ac:dyDescent="0.25">
      <c r="B3" s="314" t="s">
        <v>1</v>
      </c>
      <c r="C3" s="315" t="s">
        <v>2</v>
      </c>
    </row>
    <row r="4" spans="2:3" ht="23" x14ac:dyDescent="0.25">
      <c r="B4" s="316" t="s">
        <v>3</v>
      </c>
      <c r="C4" s="317" t="s">
        <v>4</v>
      </c>
    </row>
    <row r="5" spans="2:3" ht="23" x14ac:dyDescent="0.25">
      <c r="B5" s="318" t="s">
        <v>5</v>
      </c>
      <c r="C5" s="319">
        <v>50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A8A8-1689-CB42-9E7C-AFE0AA19E67D}">
  <dimension ref="A1:H11"/>
  <sheetViews>
    <sheetView showGridLines="0" topLeftCell="A3" zoomScale="170" zoomScaleNormal="170" workbookViewId="0">
      <selection activeCell="A11" sqref="A11"/>
    </sheetView>
  </sheetViews>
  <sheetFormatPr baseColWidth="10" defaultColWidth="10.83203125" defaultRowHeight="23" x14ac:dyDescent="0.25"/>
  <cols>
    <col min="1" max="1" width="35.1640625" style="113" bestFit="1" customWidth="1"/>
    <col min="2" max="2" width="15.33203125" style="113" bestFit="1" customWidth="1"/>
    <col min="3" max="7" width="10.83203125" style="113"/>
    <col min="8" max="8" width="14.5" style="113" bestFit="1" customWidth="1"/>
    <col min="9" max="16384" width="10.83203125" style="113"/>
  </cols>
  <sheetData>
    <row r="1" spans="1:8" ht="36" customHeight="1" x14ac:dyDescent="0.25">
      <c r="A1" s="340" t="s">
        <v>6</v>
      </c>
      <c r="B1" s="340"/>
      <c r="C1" s="340"/>
    </row>
    <row r="2" spans="1:8" ht="40" customHeight="1" x14ac:dyDescent="0.25">
      <c r="A2" s="322" t="s">
        <v>7</v>
      </c>
      <c r="B2" s="324"/>
      <c r="C2" s="326"/>
      <c r="D2" s="115"/>
    </row>
    <row r="3" spans="1:8" ht="40" customHeight="1" x14ac:dyDescent="0.25">
      <c r="A3" s="323" t="s">
        <v>8</v>
      </c>
      <c r="B3" s="325"/>
      <c r="C3" s="326"/>
    </row>
    <row r="4" spans="1:8" ht="40" customHeight="1" x14ac:dyDescent="0.25">
      <c r="A4" s="323" t="s">
        <v>9</v>
      </c>
      <c r="B4" s="325"/>
      <c r="C4" s="326"/>
      <c r="H4" s="114"/>
    </row>
    <row r="5" spans="1:8" ht="40" customHeight="1" x14ac:dyDescent="0.25">
      <c r="A5" s="323" t="s">
        <v>10</v>
      </c>
      <c r="B5" s="326"/>
      <c r="C5" s="326"/>
      <c r="H5" s="114"/>
    </row>
    <row r="6" spans="1:8" ht="40" customHeight="1" x14ac:dyDescent="0.25">
      <c r="A6" s="323" t="s">
        <v>11</v>
      </c>
      <c r="B6" s="326"/>
      <c r="C6" s="326"/>
    </row>
    <row r="7" spans="1:8" ht="40" customHeight="1" x14ac:dyDescent="0.25">
      <c r="A7" s="323" t="s">
        <v>12</v>
      </c>
      <c r="B7" s="326"/>
      <c r="C7" s="326"/>
    </row>
    <row r="8" spans="1:8" ht="40" customHeight="1" x14ac:dyDescent="0.25">
      <c r="A8" s="323" t="s">
        <v>13</v>
      </c>
      <c r="B8" s="326"/>
      <c r="C8" s="326"/>
      <c r="E8"/>
    </row>
    <row r="9" spans="1:8" ht="40" customHeight="1" x14ac:dyDescent="0.25">
      <c r="A9" s="323" t="s">
        <v>14</v>
      </c>
      <c r="B9" s="326"/>
      <c r="C9" s="326"/>
    </row>
    <row r="10" spans="1:8" ht="40" customHeight="1" x14ac:dyDescent="0.25">
      <c r="A10" s="323" t="s">
        <v>15</v>
      </c>
      <c r="B10" s="326"/>
      <c r="C10" s="326"/>
    </row>
    <row r="11" spans="1:8" ht="40" customHeight="1" x14ac:dyDescent="0.25">
      <c r="A11" s="323" t="s">
        <v>16</v>
      </c>
      <c r="B11" s="326"/>
      <c r="C11" s="326"/>
    </row>
  </sheetData>
  <mergeCells count="1">
    <mergeCell ref="A1:C1"/>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opLeftCell="A25" zoomScale="116" zoomScaleNormal="280" zoomScalePageLayoutView="130" workbookViewId="0">
      <selection activeCell="J12" sqref="J12"/>
    </sheetView>
  </sheetViews>
  <sheetFormatPr baseColWidth="10" defaultColWidth="8.83203125" defaultRowHeight="14" x14ac:dyDescent="0.15"/>
  <cols>
    <col min="1" max="1" width="40.83203125" style="25" customWidth="1"/>
    <col min="2" max="2" width="25.1640625" style="25" bestFit="1" customWidth="1"/>
    <col min="3" max="3" width="9.6640625" style="25" customWidth="1"/>
    <col min="4" max="4" width="7.5" style="25" customWidth="1"/>
    <col min="5" max="5" width="8.83203125" style="25"/>
    <col min="6" max="6" width="10.33203125" style="25" customWidth="1"/>
    <col min="7" max="7" width="11.83203125" style="25" customWidth="1"/>
    <col min="8" max="8" width="10.5" style="25" customWidth="1"/>
    <col min="9" max="16384" width="8.83203125" style="25"/>
  </cols>
  <sheetData>
    <row r="1" spans="1:10" ht="16" x14ac:dyDescent="0.2">
      <c r="A1" s="341" t="s">
        <v>17</v>
      </c>
      <c r="B1" s="341"/>
      <c r="C1" s="341"/>
      <c r="D1" s="341"/>
      <c r="E1" s="341"/>
      <c r="F1" s="341"/>
      <c r="G1" s="341"/>
      <c r="H1" s="341"/>
    </row>
    <row r="2" spans="1:10" ht="16" x14ac:dyDescent="0.2">
      <c r="A2" s="341" t="str">
        <f>Summary!C3</f>
        <v>L'amore</v>
      </c>
      <c r="B2" s="341"/>
      <c r="C2" s="341"/>
      <c r="D2" s="341"/>
      <c r="E2" s="341"/>
      <c r="F2" s="341"/>
      <c r="G2" s="341"/>
      <c r="H2" s="341"/>
    </row>
    <row r="3" spans="1:10" ht="30" x14ac:dyDescent="0.15">
      <c r="A3" s="26" t="s">
        <v>18</v>
      </c>
      <c r="B3" s="26" t="s">
        <v>19</v>
      </c>
      <c r="C3" s="26" t="s">
        <v>20</v>
      </c>
      <c r="D3" s="26" t="s">
        <v>21</v>
      </c>
      <c r="E3" s="26" t="s">
        <v>22</v>
      </c>
      <c r="F3" s="26" t="s">
        <v>23</v>
      </c>
      <c r="G3" s="26" t="s">
        <v>24</v>
      </c>
      <c r="H3" s="26" t="s">
        <v>25</v>
      </c>
    </row>
    <row r="4" spans="1:10" x14ac:dyDescent="0.15">
      <c r="A4" s="27"/>
      <c r="B4" s="27" t="s">
        <v>26</v>
      </c>
      <c r="C4" s="28">
        <v>12</v>
      </c>
      <c r="D4" s="28">
        <v>1.25</v>
      </c>
      <c r="E4" s="29">
        <f>IF(D4="","",D4/C4)</f>
        <v>0.10416666666666667</v>
      </c>
      <c r="F4" s="30">
        <v>0.15</v>
      </c>
      <c r="G4" s="31">
        <f>IF(C4="","",C4*F4)</f>
        <v>1.7999999999999998</v>
      </c>
      <c r="H4" s="32">
        <f>IF(D4="","",D4*F4)</f>
        <v>0.1875</v>
      </c>
    </row>
    <row r="5" spans="1:10" x14ac:dyDescent="0.15">
      <c r="A5" s="33"/>
      <c r="B5" s="33" t="s">
        <v>27</v>
      </c>
      <c r="C5" s="34">
        <v>13</v>
      </c>
      <c r="D5" s="34">
        <v>1</v>
      </c>
      <c r="E5" s="29">
        <f t="shared" ref="E5:E15" si="0">IF(D5="","",D5/C5)</f>
        <v>7.6923076923076927E-2</v>
      </c>
      <c r="F5" s="35">
        <v>0.05</v>
      </c>
      <c r="G5" s="31">
        <f t="shared" ref="G5:G9" si="1">IF(C5="","",C5*F5)</f>
        <v>0.65</v>
      </c>
      <c r="H5" s="32">
        <f t="shared" ref="H5:H9" si="2">IF(D5="","",D5*F5)</f>
        <v>0.05</v>
      </c>
    </row>
    <row r="6" spans="1:10" x14ac:dyDescent="0.15">
      <c r="A6" s="33"/>
      <c r="B6" s="33" t="s">
        <v>28</v>
      </c>
      <c r="C6" s="34">
        <v>14</v>
      </c>
      <c r="D6" s="34">
        <v>1</v>
      </c>
      <c r="E6" s="29">
        <f t="shared" si="0"/>
        <v>7.1428571428571425E-2</v>
      </c>
      <c r="F6" s="35">
        <v>0.1</v>
      </c>
      <c r="G6" s="31">
        <f t="shared" si="1"/>
        <v>1.4000000000000001</v>
      </c>
      <c r="H6" s="32">
        <f t="shared" si="2"/>
        <v>0.1</v>
      </c>
    </row>
    <row r="7" spans="1:10" x14ac:dyDescent="0.15">
      <c r="A7" s="33"/>
      <c r="B7" s="33" t="s">
        <v>29</v>
      </c>
      <c r="C7" s="34">
        <v>11</v>
      </c>
      <c r="D7" s="34">
        <v>4</v>
      </c>
      <c r="E7" s="29">
        <f t="shared" si="0"/>
        <v>0.36363636363636365</v>
      </c>
      <c r="F7" s="35">
        <v>0.3</v>
      </c>
      <c r="G7" s="31">
        <f t="shared" si="1"/>
        <v>3.3</v>
      </c>
      <c r="H7" s="32">
        <f t="shared" si="2"/>
        <v>1.2</v>
      </c>
    </row>
    <row r="8" spans="1:10" ht="13" customHeight="1" x14ac:dyDescent="0.15">
      <c r="A8" s="33"/>
      <c r="B8" s="33" t="s">
        <v>30</v>
      </c>
      <c r="C8" s="34">
        <v>9</v>
      </c>
      <c r="D8" s="34">
        <v>3</v>
      </c>
      <c r="E8" s="29">
        <f t="shared" si="0"/>
        <v>0.33333333333333331</v>
      </c>
      <c r="F8" s="35">
        <v>0.1</v>
      </c>
      <c r="G8" s="31">
        <f t="shared" si="1"/>
        <v>0.9</v>
      </c>
      <c r="H8" s="32">
        <f t="shared" si="2"/>
        <v>0.30000000000000004</v>
      </c>
    </row>
    <row r="9" spans="1:10" ht="13" customHeight="1" x14ac:dyDescent="0.15">
      <c r="A9" s="33"/>
      <c r="B9" s="33" t="s">
        <v>31</v>
      </c>
      <c r="C9" s="34">
        <v>11</v>
      </c>
      <c r="D9" s="34">
        <v>4</v>
      </c>
      <c r="E9" s="29">
        <f t="shared" si="0"/>
        <v>0.36363636363636365</v>
      </c>
      <c r="F9" s="35">
        <v>0.3</v>
      </c>
      <c r="G9" s="31">
        <f t="shared" si="1"/>
        <v>3.3</v>
      </c>
      <c r="H9" s="32">
        <f t="shared" si="2"/>
        <v>1.2</v>
      </c>
    </row>
    <row r="10" spans="1:10" x14ac:dyDescent="0.15">
      <c r="A10" s="342" t="s">
        <v>32</v>
      </c>
      <c r="B10" s="342"/>
      <c r="C10" s="342"/>
      <c r="D10" s="342"/>
      <c r="E10" s="342"/>
      <c r="F10" s="342"/>
      <c r="G10" s="36">
        <f>SUM(G4:G9)</f>
        <v>11.349999999999998</v>
      </c>
      <c r="H10" s="36">
        <f>SUM(H4:H9)</f>
        <v>3.0375000000000001</v>
      </c>
    </row>
    <row r="11" spans="1:10" ht="30" x14ac:dyDescent="0.15">
      <c r="A11" s="26" t="s">
        <v>33</v>
      </c>
      <c r="B11" s="26" t="s">
        <v>19</v>
      </c>
      <c r="C11" s="26" t="s">
        <v>20</v>
      </c>
      <c r="D11" s="26" t="s">
        <v>21</v>
      </c>
      <c r="E11" s="26" t="s">
        <v>22</v>
      </c>
      <c r="F11" s="26" t="s">
        <v>23</v>
      </c>
      <c r="G11" s="26" t="s">
        <v>24</v>
      </c>
      <c r="H11" s="26" t="s">
        <v>25</v>
      </c>
    </row>
    <row r="12" spans="1:10" x14ac:dyDescent="0.15">
      <c r="A12" s="27" t="s">
        <v>34</v>
      </c>
      <c r="B12" s="27" t="s">
        <v>35</v>
      </c>
      <c r="C12" s="28">
        <v>12</v>
      </c>
      <c r="D12" s="28">
        <v>5</v>
      </c>
      <c r="E12" s="29">
        <f t="shared" si="0"/>
        <v>0.41666666666666669</v>
      </c>
      <c r="F12" s="30">
        <v>0.03</v>
      </c>
      <c r="G12" s="31">
        <f t="shared" ref="G12:G15" si="3">IF(C12="","",C12*F12)</f>
        <v>0.36</v>
      </c>
      <c r="H12" s="32">
        <f t="shared" ref="H12:H15" si="4">IF(D12="","",D12*F12)</f>
        <v>0.15</v>
      </c>
    </row>
    <row r="13" spans="1:10" x14ac:dyDescent="0.15">
      <c r="A13" s="27"/>
      <c r="B13" s="27" t="s">
        <v>36</v>
      </c>
      <c r="C13" s="28">
        <v>14</v>
      </c>
      <c r="D13" s="28">
        <v>6</v>
      </c>
      <c r="E13" s="29">
        <f t="shared" si="0"/>
        <v>0.42857142857142855</v>
      </c>
      <c r="F13" s="30">
        <v>0.03</v>
      </c>
      <c r="G13" s="31">
        <f t="shared" si="3"/>
        <v>0.42</v>
      </c>
      <c r="H13" s="32">
        <f t="shared" si="4"/>
        <v>0.18</v>
      </c>
      <c r="J13" s="336"/>
    </row>
    <row r="14" spans="1:10" x14ac:dyDescent="0.15">
      <c r="A14" s="27"/>
      <c r="B14" s="27" t="s">
        <v>37</v>
      </c>
      <c r="C14" s="28">
        <v>10</v>
      </c>
      <c r="D14" s="28">
        <v>4.5</v>
      </c>
      <c r="E14" s="29">
        <f t="shared" si="0"/>
        <v>0.45</v>
      </c>
      <c r="F14" s="30">
        <v>0.02</v>
      </c>
      <c r="G14" s="31">
        <f t="shared" si="3"/>
        <v>0.2</v>
      </c>
      <c r="H14" s="32">
        <f t="shared" si="4"/>
        <v>0.09</v>
      </c>
    </row>
    <row r="15" spans="1:10" x14ac:dyDescent="0.15">
      <c r="A15" s="33"/>
      <c r="B15" s="33" t="s">
        <v>38</v>
      </c>
      <c r="C15" s="34">
        <v>17</v>
      </c>
      <c r="D15" s="34">
        <v>8</v>
      </c>
      <c r="E15" s="29">
        <f t="shared" si="0"/>
        <v>0.47058823529411764</v>
      </c>
      <c r="F15" s="35">
        <v>0.02</v>
      </c>
      <c r="G15" s="31">
        <f t="shared" si="3"/>
        <v>0.34</v>
      </c>
      <c r="H15" s="32">
        <f t="shared" si="4"/>
        <v>0.16</v>
      </c>
    </row>
    <row r="16" spans="1:10" x14ac:dyDescent="0.15">
      <c r="A16" s="27" t="s">
        <v>39</v>
      </c>
      <c r="B16" s="27" t="s">
        <v>40</v>
      </c>
      <c r="C16" s="28">
        <v>11</v>
      </c>
      <c r="D16" s="28">
        <v>5</v>
      </c>
      <c r="E16" s="29">
        <f t="shared" ref="E16:E22" si="5">IF(D16="","",D16/C16)</f>
        <v>0.45454545454545453</v>
      </c>
      <c r="F16" s="30">
        <v>0.03</v>
      </c>
      <c r="G16" s="31">
        <f t="shared" ref="G16:G22" si="6">IF(C16="","",C16*F16)</f>
        <v>0.32999999999999996</v>
      </c>
      <c r="H16" s="32">
        <f t="shared" ref="H16:H22" si="7">IF(D16="","",D16*F16)</f>
        <v>0.15</v>
      </c>
    </row>
    <row r="17" spans="1:12" x14ac:dyDescent="0.15">
      <c r="A17" s="27"/>
      <c r="B17" s="27" t="s">
        <v>41</v>
      </c>
      <c r="C17" s="28">
        <v>12</v>
      </c>
      <c r="D17" s="28">
        <v>4.5</v>
      </c>
      <c r="E17" s="29">
        <f t="shared" si="5"/>
        <v>0.375</v>
      </c>
      <c r="F17" s="30">
        <v>0.03</v>
      </c>
      <c r="G17" s="31">
        <f t="shared" si="6"/>
        <v>0.36</v>
      </c>
      <c r="H17" s="32">
        <f t="shared" si="7"/>
        <v>0.13500000000000001</v>
      </c>
    </row>
    <row r="18" spans="1:12" ht="13.5" customHeight="1" x14ac:dyDescent="0.15">
      <c r="A18" s="27" t="s">
        <v>42</v>
      </c>
      <c r="B18" s="27" t="s">
        <v>43</v>
      </c>
      <c r="C18" s="28">
        <v>21</v>
      </c>
      <c r="D18" s="28">
        <v>10</v>
      </c>
      <c r="E18" s="29">
        <f t="shared" si="5"/>
        <v>0.47619047619047616</v>
      </c>
      <c r="F18" s="30">
        <v>0.04</v>
      </c>
      <c r="G18" s="31">
        <f t="shared" si="6"/>
        <v>0.84</v>
      </c>
      <c r="H18" s="32">
        <f t="shared" si="7"/>
        <v>0.4</v>
      </c>
      <c r="L18" s="336"/>
    </row>
    <row r="19" spans="1:12" ht="14" customHeight="1" x14ac:dyDescent="0.15">
      <c r="A19" s="33"/>
      <c r="B19" s="33" t="s">
        <v>44</v>
      </c>
      <c r="C19" s="34">
        <v>23</v>
      </c>
      <c r="D19" s="34">
        <v>11</v>
      </c>
      <c r="E19" s="29">
        <f t="shared" si="5"/>
        <v>0.47826086956521741</v>
      </c>
      <c r="F19" s="35">
        <v>0.06</v>
      </c>
      <c r="G19" s="31">
        <f t="shared" si="6"/>
        <v>1.38</v>
      </c>
      <c r="H19" s="32">
        <f t="shared" si="7"/>
        <v>0.65999999999999992</v>
      </c>
    </row>
    <row r="20" spans="1:12" ht="14" customHeight="1" x14ac:dyDescent="0.15">
      <c r="A20" s="33"/>
      <c r="B20" s="33" t="s">
        <v>45</v>
      </c>
      <c r="C20" s="34">
        <v>19</v>
      </c>
      <c r="D20" s="34">
        <v>9</v>
      </c>
      <c r="E20" s="29">
        <f t="shared" si="5"/>
        <v>0.47368421052631576</v>
      </c>
      <c r="F20" s="35">
        <v>0.05</v>
      </c>
      <c r="G20" s="31">
        <f t="shared" si="6"/>
        <v>0.95000000000000007</v>
      </c>
      <c r="H20" s="32">
        <f t="shared" si="7"/>
        <v>0.45</v>
      </c>
    </row>
    <row r="21" spans="1:12" ht="14" customHeight="1" x14ac:dyDescent="0.15">
      <c r="A21" s="27"/>
      <c r="B21" s="27" t="s">
        <v>46</v>
      </c>
      <c r="C21" s="28">
        <v>19</v>
      </c>
      <c r="D21" s="28">
        <v>9</v>
      </c>
      <c r="E21" s="29">
        <f t="shared" si="5"/>
        <v>0.47368421052631576</v>
      </c>
      <c r="F21" s="30">
        <v>0.03</v>
      </c>
      <c r="G21" s="31">
        <f t="shared" si="6"/>
        <v>0.56999999999999995</v>
      </c>
      <c r="H21" s="32">
        <f t="shared" si="7"/>
        <v>0.27</v>
      </c>
    </row>
    <row r="22" spans="1:12" ht="14" customHeight="1" x14ac:dyDescent="0.15">
      <c r="A22" s="27"/>
      <c r="B22" s="27" t="s">
        <v>47</v>
      </c>
      <c r="C22" s="28">
        <v>18</v>
      </c>
      <c r="D22" s="28">
        <v>8</v>
      </c>
      <c r="E22" s="29">
        <f t="shared" si="5"/>
        <v>0.44444444444444442</v>
      </c>
      <c r="F22" s="30">
        <v>0.04</v>
      </c>
      <c r="G22" s="31">
        <f t="shared" si="6"/>
        <v>0.72</v>
      </c>
      <c r="H22" s="32">
        <f t="shared" si="7"/>
        <v>0.32</v>
      </c>
    </row>
    <row r="23" spans="1:12" ht="14" customHeight="1" x14ac:dyDescent="0.15">
      <c r="A23" s="27"/>
      <c r="B23" s="27" t="s">
        <v>48</v>
      </c>
      <c r="C23" s="28">
        <v>17</v>
      </c>
      <c r="D23" s="28">
        <v>8</v>
      </c>
      <c r="E23" s="29">
        <f t="shared" ref="E23" si="8">IF(D23="","",D23/C23)</f>
        <v>0.47058823529411764</v>
      </c>
      <c r="F23" s="30">
        <v>0.03</v>
      </c>
      <c r="G23" s="31">
        <f t="shared" ref="G23" si="9">IF(C23="","",C23*F23)</f>
        <v>0.51</v>
      </c>
      <c r="H23" s="32">
        <f t="shared" ref="H23" si="10">IF(D23="","",D23*F23)</f>
        <v>0.24</v>
      </c>
    </row>
    <row r="24" spans="1:12" ht="14" customHeight="1" x14ac:dyDescent="0.15">
      <c r="A24" s="27" t="s">
        <v>49</v>
      </c>
      <c r="B24" s="27" t="s">
        <v>50</v>
      </c>
      <c r="C24" s="28">
        <v>7.5</v>
      </c>
      <c r="D24" s="28">
        <v>3</v>
      </c>
      <c r="E24" s="29">
        <f>IF(D24="","",D24/C24)</f>
        <v>0.4</v>
      </c>
      <c r="F24" s="30">
        <v>0.02</v>
      </c>
      <c r="G24" s="31">
        <f>IF(C24="","",C24*F24)</f>
        <v>0.15</v>
      </c>
      <c r="H24" s="32">
        <f>IF(D24="","",D24*F24)</f>
        <v>0.06</v>
      </c>
    </row>
    <row r="25" spans="1:12" ht="14" customHeight="1" x14ac:dyDescent="0.15">
      <c r="A25" s="33"/>
      <c r="B25" s="33" t="s">
        <v>51</v>
      </c>
      <c r="C25" s="34">
        <v>6</v>
      </c>
      <c r="D25" s="34">
        <v>2.5</v>
      </c>
      <c r="E25" s="29">
        <f>IF(D25="","",D25/C25)</f>
        <v>0.41666666666666669</v>
      </c>
      <c r="F25" s="35">
        <v>0.03</v>
      </c>
      <c r="G25" s="31">
        <f>IF(C25="","",C25*F25)</f>
        <v>0.18</v>
      </c>
      <c r="H25" s="32">
        <f>IF(D25="","",D25*F25)</f>
        <v>7.4999999999999997E-2</v>
      </c>
    </row>
    <row r="26" spans="1:12" ht="14" customHeight="1" x14ac:dyDescent="0.15">
      <c r="A26" s="33"/>
      <c r="B26" s="33" t="s">
        <v>52</v>
      </c>
      <c r="C26" s="34">
        <v>8</v>
      </c>
      <c r="D26" s="34">
        <v>3.5</v>
      </c>
      <c r="E26" s="29">
        <f>IF(D26="","",D26/C26)</f>
        <v>0.4375</v>
      </c>
      <c r="F26" s="35">
        <v>0.04</v>
      </c>
      <c r="G26" s="31">
        <f>IF(C26="","",C26*F26)</f>
        <v>0.32</v>
      </c>
      <c r="H26" s="32">
        <f>IF(D26="","",D26*F26)</f>
        <v>0.14000000000000001</v>
      </c>
    </row>
    <row r="27" spans="1:12" ht="14" customHeight="1" x14ac:dyDescent="0.15">
      <c r="A27" s="334" t="s">
        <v>53</v>
      </c>
      <c r="B27" s="334"/>
      <c r="C27" s="334"/>
      <c r="D27" s="334"/>
      <c r="E27" s="334"/>
      <c r="F27" s="334"/>
      <c r="G27" s="36">
        <f>SUM(G12:G15)</f>
        <v>1.32</v>
      </c>
      <c r="H27" s="37">
        <f>SUM(H12:H15)</f>
        <v>0.57999999999999996</v>
      </c>
    </row>
    <row r="28" spans="1:12" ht="25.5" customHeight="1" x14ac:dyDescent="0.15">
      <c r="A28" s="26" t="s">
        <v>54</v>
      </c>
      <c r="B28" s="26" t="s">
        <v>19</v>
      </c>
      <c r="C28" s="26" t="s">
        <v>20</v>
      </c>
      <c r="D28" s="26" t="s">
        <v>21</v>
      </c>
      <c r="E28" s="26" t="s">
        <v>22</v>
      </c>
      <c r="F28" s="26" t="s">
        <v>23</v>
      </c>
      <c r="G28" s="26" t="s">
        <v>24</v>
      </c>
      <c r="H28" s="26" t="s">
        <v>25</v>
      </c>
    </row>
    <row r="29" spans="1:12" ht="14" customHeight="1" x14ac:dyDescent="0.15">
      <c r="A29" s="27"/>
      <c r="B29" s="27" t="s">
        <v>55</v>
      </c>
      <c r="C29" s="28">
        <v>37</v>
      </c>
      <c r="D29" s="28">
        <v>16</v>
      </c>
      <c r="E29" s="29">
        <f>IF(D29="","",D29/C29)</f>
        <v>0.43243243243243246</v>
      </c>
      <c r="F29" s="30">
        <v>0.09</v>
      </c>
      <c r="G29" s="31">
        <f t="shared" ref="G29:G33" si="11">IF(C29="","",C29*F29)</f>
        <v>3.33</v>
      </c>
      <c r="H29" s="32">
        <f t="shared" ref="H29:H33" si="12">IF(D29="","",D29*F29)</f>
        <v>1.44</v>
      </c>
      <c r="I29" s="39"/>
    </row>
    <row r="30" spans="1:12" x14ac:dyDescent="0.15">
      <c r="A30" s="27"/>
      <c r="B30" s="27" t="s">
        <v>56</v>
      </c>
      <c r="C30" s="28">
        <v>24</v>
      </c>
      <c r="D30" s="28">
        <v>11</v>
      </c>
      <c r="E30" s="29">
        <f>IF(D30="","",D30/C30)</f>
        <v>0.45833333333333331</v>
      </c>
      <c r="F30" s="30">
        <v>7.0000000000000007E-2</v>
      </c>
      <c r="G30" s="31">
        <f t="shared" si="11"/>
        <v>1.6800000000000002</v>
      </c>
      <c r="H30" s="32">
        <f t="shared" si="12"/>
        <v>0.77</v>
      </c>
    </row>
    <row r="31" spans="1:12" ht="14" customHeight="1" x14ac:dyDescent="0.15">
      <c r="A31" s="27"/>
      <c r="B31" s="27" t="s">
        <v>57</v>
      </c>
      <c r="C31" s="28">
        <v>29</v>
      </c>
      <c r="D31" s="28">
        <v>13</v>
      </c>
      <c r="E31" s="29">
        <f>IF(D31="","",D31/C31)</f>
        <v>0.44827586206896552</v>
      </c>
      <c r="F31" s="30">
        <v>0.06</v>
      </c>
      <c r="G31" s="31">
        <f t="shared" si="11"/>
        <v>1.74</v>
      </c>
      <c r="H31" s="32">
        <f t="shared" si="12"/>
        <v>0.78</v>
      </c>
    </row>
    <row r="32" spans="1:12" ht="14" customHeight="1" x14ac:dyDescent="0.15">
      <c r="A32" s="27"/>
      <c r="B32" s="27" t="s">
        <v>58</v>
      </c>
      <c r="C32" s="28">
        <v>37</v>
      </c>
      <c r="D32" s="28">
        <v>13</v>
      </c>
      <c r="E32" s="29">
        <f>IF(D32="","",D32/C32)</f>
        <v>0.35135135135135137</v>
      </c>
      <c r="F32" s="30">
        <v>0.05</v>
      </c>
      <c r="G32" s="31">
        <f t="shared" si="11"/>
        <v>1.85</v>
      </c>
      <c r="H32" s="32">
        <f t="shared" si="12"/>
        <v>0.65</v>
      </c>
    </row>
    <row r="33" spans="1:8" x14ac:dyDescent="0.15">
      <c r="A33" s="33"/>
      <c r="B33" s="33" t="s">
        <v>59</v>
      </c>
      <c r="C33" s="34">
        <v>21</v>
      </c>
      <c r="D33" s="34">
        <v>10</v>
      </c>
      <c r="E33" s="29">
        <f>IF(D33="","",D33/C33)</f>
        <v>0.47619047619047616</v>
      </c>
      <c r="F33" s="35">
        <v>0.03</v>
      </c>
      <c r="G33" s="31">
        <f t="shared" si="11"/>
        <v>0.63</v>
      </c>
      <c r="H33" s="32">
        <f t="shared" si="12"/>
        <v>0.3</v>
      </c>
    </row>
    <row r="34" spans="1:8" x14ac:dyDescent="0.15">
      <c r="A34" s="334" t="s">
        <v>60</v>
      </c>
      <c r="B34" s="334"/>
      <c r="C34" s="334"/>
      <c r="D34" s="334"/>
      <c r="E34" s="334"/>
      <c r="F34" s="334"/>
      <c r="G34" s="36">
        <f>SUM(G29:G33)</f>
        <v>9.23</v>
      </c>
      <c r="H34" s="37">
        <f>SUM(H29:H33)</f>
        <v>3.94</v>
      </c>
    </row>
    <row r="35" spans="1:8" x14ac:dyDescent="0.15">
      <c r="A35" s="333" t="s">
        <v>61</v>
      </c>
      <c r="B35" s="333"/>
      <c r="C35" s="333"/>
      <c r="D35" s="333"/>
      <c r="E35" s="333"/>
      <c r="F35" s="333"/>
      <c r="G35" s="38">
        <f>G10</f>
        <v>11.349999999999998</v>
      </c>
      <c r="H35" s="38">
        <f>H10</f>
        <v>3.0375000000000001</v>
      </c>
    </row>
    <row r="36" spans="1:8" x14ac:dyDescent="0.15">
      <c r="A36" s="333" t="s">
        <v>62</v>
      </c>
      <c r="B36" s="333"/>
      <c r="C36" s="333"/>
      <c r="D36" s="333"/>
      <c r="E36" s="333"/>
      <c r="F36" s="333"/>
      <c r="G36" s="38">
        <f>G27</f>
        <v>1.32</v>
      </c>
      <c r="H36" s="38">
        <f>H27</f>
        <v>0.57999999999999996</v>
      </c>
    </row>
    <row r="37" spans="1:8" x14ac:dyDescent="0.15">
      <c r="A37" s="333" t="s">
        <v>63</v>
      </c>
      <c r="B37" s="333"/>
      <c r="C37" s="333"/>
      <c r="D37" s="333"/>
      <c r="E37" s="333"/>
      <c r="F37" s="333"/>
      <c r="G37" s="38">
        <f>G34</f>
        <v>9.23</v>
      </c>
      <c r="H37" s="38">
        <f>H34</f>
        <v>3.94</v>
      </c>
    </row>
    <row r="38" spans="1:8" x14ac:dyDescent="0.15">
      <c r="A38" s="333" t="s">
        <v>64</v>
      </c>
      <c r="B38" s="333"/>
      <c r="C38" s="333"/>
      <c r="D38" s="333"/>
      <c r="E38" s="333"/>
      <c r="F38" s="333"/>
      <c r="G38" s="38">
        <f>SUM(G35:G37)</f>
        <v>21.9</v>
      </c>
      <c r="H38" s="38">
        <f>SUM(H35:H37)</f>
        <v>7.5575000000000001</v>
      </c>
    </row>
    <row r="40" spans="1:8" x14ac:dyDescent="0.15">
      <c r="A40" s="332" t="s">
        <v>65</v>
      </c>
      <c r="B40" s="332"/>
      <c r="C40" s="332"/>
      <c r="D40" s="332"/>
      <c r="E40" s="332"/>
      <c r="F40" s="332"/>
      <c r="G40" s="119">
        <f>IFERROR(H38/G38,0)</f>
        <v>0.34509132420091326</v>
      </c>
    </row>
  </sheetData>
  <mergeCells count="3">
    <mergeCell ref="A1:H1"/>
    <mergeCell ref="A2:H2"/>
    <mergeCell ref="A10:F10"/>
  </mergeCells>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0"/>
  <sheetViews>
    <sheetView zoomScale="86" zoomScaleNormal="115" zoomScalePageLayoutView="115" workbookViewId="0">
      <selection activeCell="K7" sqref="K7"/>
    </sheetView>
  </sheetViews>
  <sheetFormatPr baseColWidth="10" defaultColWidth="8.83203125" defaultRowHeight="14" x14ac:dyDescent="0.15"/>
  <cols>
    <col min="1" max="1" width="1.1640625" style="25" customWidth="1"/>
    <col min="2" max="2" width="19.5" style="25" customWidth="1"/>
    <col min="3" max="10" width="12.6640625" style="25" customWidth="1"/>
    <col min="11" max="11" width="8.83203125" style="25"/>
    <col min="12" max="12" width="27" style="25" bestFit="1" customWidth="1"/>
    <col min="13" max="13" width="13.5" style="25" bestFit="1" customWidth="1"/>
    <col min="14" max="20" width="8.83203125" style="25"/>
    <col min="21" max="21" width="12.1640625" style="25" bestFit="1" customWidth="1"/>
    <col min="22" max="22" width="10.5" style="25" bestFit="1" customWidth="1"/>
    <col min="23" max="16384" width="8.83203125" style="25"/>
  </cols>
  <sheetData>
    <row r="1" spans="1:22" ht="17" thickBot="1" x14ac:dyDescent="0.25">
      <c r="A1" s="343" t="str">
        <f>Summary!C3</f>
        <v>L'amore</v>
      </c>
      <c r="B1" s="343"/>
      <c r="C1" s="343"/>
      <c r="D1" s="343"/>
      <c r="E1" s="343"/>
      <c r="F1" s="343"/>
      <c r="G1" s="343"/>
      <c r="H1" s="343"/>
      <c r="I1" s="343"/>
      <c r="J1" s="343"/>
    </row>
    <row r="2" spans="1:22" ht="17" thickBot="1" x14ac:dyDescent="0.25">
      <c r="A2" s="353" t="s">
        <v>66</v>
      </c>
      <c r="B2" s="354"/>
      <c r="C2" s="354"/>
      <c r="D2" s="354"/>
      <c r="E2" s="354"/>
      <c r="F2" s="354"/>
      <c r="G2" s="354"/>
      <c r="H2" s="354"/>
      <c r="I2" s="354"/>
      <c r="J2" s="355"/>
      <c r="L2" s="307" t="s">
        <v>67</v>
      </c>
      <c r="M2" s="308" t="s">
        <v>68</v>
      </c>
      <c r="N2" s="309" t="s">
        <v>69</v>
      </c>
      <c r="O2" s="309" t="s">
        <v>70</v>
      </c>
      <c r="P2" s="309" t="s">
        <v>71</v>
      </c>
      <c r="Q2" s="309" t="s">
        <v>72</v>
      </c>
      <c r="R2" s="309" t="s">
        <v>73</v>
      </c>
      <c r="S2" s="309" t="s">
        <v>74</v>
      </c>
      <c r="T2" s="309" t="s">
        <v>75</v>
      </c>
      <c r="U2" s="308" t="s">
        <v>76</v>
      </c>
      <c r="V2" s="308" t="s">
        <v>77</v>
      </c>
    </row>
    <row r="3" spans="1:22" ht="15" thickBot="1" x14ac:dyDescent="0.2">
      <c r="B3" s="40" t="s">
        <v>78</v>
      </c>
      <c r="C3" s="320">
        <f>Summary!C5</f>
        <v>50</v>
      </c>
      <c r="L3" s="310">
        <v>65</v>
      </c>
      <c r="M3" s="311" t="s">
        <v>79</v>
      </c>
      <c r="N3" s="330">
        <f>C18/$L$3</f>
        <v>4.1230769230769226</v>
      </c>
      <c r="O3" s="330">
        <f t="shared" ref="O3:T3" si="0">D18/$L$3</f>
        <v>3.3384615384615386</v>
      </c>
      <c r="P3" s="330">
        <f t="shared" si="0"/>
        <v>3.1076923076923078</v>
      </c>
      <c r="Q3" s="330">
        <f t="shared" si="0"/>
        <v>3.2</v>
      </c>
      <c r="R3" s="330">
        <f t="shared" si="0"/>
        <v>3.3692307692307693</v>
      </c>
      <c r="S3" s="330">
        <f>H18/$L$3</f>
        <v>4.7692307692307692</v>
      </c>
      <c r="T3" s="330">
        <f t="shared" si="0"/>
        <v>5.3230769230769228</v>
      </c>
      <c r="U3" s="330">
        <f>SUM(M3:T3)</f>
        <v>27.23076923076923</v>
      </c>
      <c r="V3" s="330">
        <f>U3/7</f>
        <v>3.8901098901098901</v>
      </c>
    </row>
    <row r="4" spans="1:22" ht="17" thickBot="1" x14ac:dyDescent="0.25">
      <c r="B4" s="42"/>
      <c r="C4" s="42" t="s">
        <v>69</v>
      </c>
      <c r="D4" s="42" t="s">
        <v>70</v>
      </c>
      <c r="E4" s="42" t="s">
        <v>71</v>
      </c>
      <c r="F4" s="42" t="s">
        <v>72</v>
      </c>
      <c r="G4" s="42" t="s">
        <v>73</v>
      </c>
      <c r="H4" s="42" t="s">
        <v>74</v>
      </c>
      <c r="I4" s="42" t="s">
        <v>75</v>
      </c>
      <c r="J4" s="42" t="s">
        <v>80</v>
      </c>
      <c r="L4" s="310">
        <v>65</v>
      </c>
      <c r="M4" s="311" t="s">
        <v>81</v>
      </c>
      <c r="N4" s="330">
        <f>C18/$L$4</f>
        <v>4.1230769230769226</v>
      </c>
      <c r="O4" s="330">
        <f t="shared" ref="O4:T4" si="1">D18/$L$4</f>
        <v>3.3384615384615386</v>
      </c>
      <c r="P4" s="330">
        <f t="shared" si="1"/>
        <v>3.1076923076923078</v>
      </c>
      <c r="Q4" s="330">
        <f t="shared" si="1"/>
        <v>3.2</v>
      </c>
      <c r="R4" s="330">
        <f t="shared" si="1"/>
        <v>3.3692307692307693</v>
      </c>
      <c r="S4" s="330">
        <f>H18/$L$4</f>
        <v>4.7692307692307692</v>
      </c>
      <c r="T4" s="330">
        <f t="shared" si="1"/>
        <v>5.3230769230769228</v>
      </c>
      <c r="U4" s="330">
        <f t="shared" ref="U4" si="2">SUM(M4:T4)</f>
        <v>27.23076923076923</v>
      </c>
      <c r="V4" s="330">
        <f t="shared" ref="V4:V5" si="3">U4/7</f>
        <v>3.8901098901098901</v>
      </c>
    </row>
    <row r="5" spans="1:22" ht="16" x14ac:dyDescent="0.2">
      <c r="A5" s="344"/>
      <c r="B5" s="42" t="s">
        <v>82</v>
      </c>
      <c r="C5" s="43">
        <v>23</v>
      </c>
      <c r="D5" s="43">
        <v>15</v>
      </c>
      <c r="E5" s="43">
        <v>18</v>
      </c>
      <c r="F5" s="43">
        <v>18</v>
      </c>
      <c r="G5" s="43">
        <v>19</v>
      </c>
      <c r="H5" s="43">
        <v>21</v>
      </c>
      <c r="I5" s="43">
        <v>25</v>
      </c>
      <c r="J5" s="48">
        <f t="shared" ref="J5:J6" si="4">SUM(C5:I5)</f>
        <v>139</v>
      </c>
      <c r="L5" s="310">
        <v>45</v>
      </c>
      <c r="M5" s="311" t="s">
        <v>83</v>
      </c>
      <c r="N5" s="330">
        <f>C18/$L$5</f>
        <v>5.9555555555555557</v>
      </c>
      <c r="O5" s="330">
        <f t="shared" ref="O5" si="5">D18/$L$5</f>
        <v>4.822222222222222</v>
      </c>
      <c r="P5" s="330">
        <f>E18/$L$5</f>
        <v>4.4888888888888889</v>
      </c>
      <c r="Q5" s="330">
        <f>F18/$L$5</f>
        <v>4.6222222222222218</v>
      </c>
      <c r="R5" s="330">
        <f>G18/$L$5</f>
        <v>4.8666666666666663</v>
      </c>
      <c r="S5" s="330">
        <f>H18/$L$5</f>
        <v>6.8888888888888893</v>
      </c>
      <c r="T5" s="330">
        <f>I18/$L$5</f>
        <v>7.6888888888888891</v>
      </c>
      <c r="U5" s="330">
        <f>SUM(M5:T5)</f>
        <v>39.333333333333336</v>
      </c>
      <c r="V5" s="330">
        <f t="shared" si="3"/>
        <v>5.6190476190476195</v>
      </c>
    </row>
    <row r="6" spans="1:22" ht="16" x14ac:dyDescent="0.2">
      <c r="A6" s="344"/>
      <c r="B6" s="42" t="s">
        <v>84</v>
      </c>
      <c r="C6" s="43">
        <v>25</v>
      </c>
      <c r="D6" s="43">
        <v>23</v>
      </c>
      <c r="E6" s="43">
        <v>20</v>
      </c>
      <c r="F6" s="43">
        <v>18</v>
      </c>
      <c r="G6" s="43">
        <v>19</v>
      </c>
      <c r="H6" s="43">
        <v>24</v>
      </c>
      <c r="I6" s="43">
        <v>29</v>
      </c>
      <c r="J6" s="48">
        <f t="shared" si="4"/>
        <v>158</v>
      </c>
      <c r="L6" s="310">
        <v>45</v>
      </c>
      <c r="M6" s="311" t="s">
        <v>85</v>
      </c>
      <c r="N6" s="330">
        <f>$C$18/$L$6</f>
        <v>5.9555555555555557</v>
      </c>
      <c r="O6" s="330">
        <f>$D$18/$L$6</f>
        <v>4.822222222222222</v>
      </c>
      <c r="P6" s="330">
        <f>E18/$L$6</f>
        <v>4.4888888888888889</v>
      </c>
      <c r="Q6" s="330">
        <f>F18/$L$6</f>
        <v>4.6222222222222218</v>
      </c>
      <c r="R6" s="330">
        <f>G18/$L$6</f>
        <v>4.8666666666666663</v>
      </c>
      <c r="S6" s="330">
        <f>H18/$L$6</f>
        <v>6.8888888888888893</v>
      </c>
      <c r="T6" s="330">
        <f>I18/$L$6</f>
        <v>7.6888888888888891</v>
      </c>
      <c r="U6" s="330">
        <f t="shared" ref="U6:U8" si="6">SUM(M6:T6)</f>
        <v>39.333333333333336</v>
      </c>
      <c r="V6" s="330">
        <f>U6/7</f>
        <v>5.6190476190476195</v>
      </c>
    </row>
    <row r="7" spans="1:22" ht="16" x14ac:dyDescent="0.2">
      <c r="A7" s="344"/>
      <c r="B7" s="42" t="s">
        <v>86</v>
      </c>
      <c r="C7" s="43">
        <v>23</v>
      </c>
      <c r="D7" s="43">
        <v>12</v>
      </c>
      <c r="E7" s="43">
        <v>13</v>
      </c>
      <c r="F7" s="43">
        <v>20</v>
      </c>
      <c r="G7" s="43">
        <v>15</v>
      </c>
      <c r="H7" s="43">
        <v>16</v>
      </c>
      <c r="I7" s="43">
        <v>20</v>
      </c>
      <c r="J7" s="48">
        <f>SUM(C7:I7)</f>
        <v>119</v>
      </c>
      <c r="L7" s="310">
        <v>40</v>
      </c>
      <c r="M7" s="311" t="s">
        <v>87</v>
      </c>
      <c r="N7" s="330">
        <f>$C$18/$L$7</f>
        <v>6.7</v>
      </c>
      <c r="O7" s="330">
        <f>$D$18/$L$7</f>
        <v>5.4249999999999998</v>
      </c>
      <c r="P7" s="330">
        <f>E18/$L$7</f>
        <v>5.05</v>
      </c>
      <c r="Q7" s="330">
        <f>F18/$L$7</f>
        <v>5.2</v>
      </c>
      <c r="R7" s="330">
        <f>G18/$L$7</f>
        <v>5.4749999999999996</v>
      </c>
      <c r="S7" s="330">
        <f>H18/$L$7</f>
        <v>7.75</v>
      </c>
      <c r="T7" s="330">
        <f>I18/$L$7</f>
        <v>8.65</v>
      </c>
      <c r="U7" s="330">
        <f t="shared" si="6"/>
        <v>44.25</v>
      </c>
      <c r="V7" s="330">
        <f t="shared" ref="V7:V8" si="7">U7/7</f>
        <v>6.3214285714285712</v>
      </c>
    </row>
    <row r="8" spans="1:22" ht="16" x14ac:dyDescent="0.2">
      <c r="A8" s="344"/>
      <c r="B8" s="42" t="s">
        <v>88</v>
      </c>
      <c r="C8" s="43">
        <v>13</v>
      </c>
      <c r="D8" s="43">
        <v>8</v>
      </c>
      <c r="E8" s="43">
        <v>9</v>
      </c>
      <c r="F8" s="43">
        <v>7</v>
      </c>
      <c r="G8" s="43">
        <v>8</v>
      </c>
      <c r="H8" s="43">
        <v>15</v>
      </c>
      <c r="I8" s="43">
        <v>21</v>
      </c>
      <c r="J8" s="48">
        <f t="shared" ref="J8:J16" si="8">SUM(C8:I8)</f>
        <v>81</v>
      </c>
      <c r="L8" s="310">
        <v>40</v>
      </c>
      <c r="M8" s="311" t="s">
        <v>89</v>
      </c>
      <c r="N8" s="330">
        <f>$C$18/$L$8</f>
        <v>6.7</v>
      </c>
      <c r="O8" s="330">
        <f>$D$18/$L$8</f>
        <v>5.4249999999999998</v>
      </c>
      <c r="P8" s="330">
        <f>E18/$L$8</f>
        <v>5.05</v>
      </c>
      <c r="Q8" s="330">
        <f>F$18/$L$8</f>
        <v>5.2</v>
      </c>
      <c r="R8" s="330">
        <f>G18/$L$8</f>
        <v>5.4749999999999996</v>
      </c>
      <c r="S8" s="330">
        <f>H18/$L$8</f>
        <v>7.75</v>
      </c>
      <c r="T8" s="330">
        <f>I18/$L$8</f>
        <v>8.65</v>
      </c>
      <c r="U8" s="330">
        <f t="shared" si="6"/>
        <v>44.25</v>
      </c>
      <c r="V8" s="330">
        <f t="shared" si="7"/>
        <v>6.3214285714285712</v>
      </c>
    </row>
    <row r="9" spans="1:22" ht="16" x14ac:dyDescent="0.2">
      <c r="A9" s="344"/>
      <c r="B9" s="42" t="s">
        <v>90</v>
      </c>
      <c r="C9" s="43">
        <v>12</v>
      </c>
      <c r="D9" s="43">
        <v>9</v>
      </c>
      <c r="E9" s="43">
        <v>8</v>
      </c>
      <c r="F9" s="43">
        <v>8</v>
      </c>
      <c r="G9" s="43">
        <v>7</v>
      </c>
      <c r="H9" s="43">
        <v>11</v>
      </c>
      <c r="I9" s="43">
        <v>19</v>
      </c>
      <c r="J9" s="48">
        <f t="shared" si="8"/>
        <v>74</v>
      </c>
    </row>
    <row r="10" spans="1:22" ht="16" x14ac:dyDescent="0.2">
      <c r="A10" s="44"/>
      <c r="B10" s="42" t="s">
        <v>91</v>
      </c>
      <c r="C10" s="45">
        <v>11</v>
      </c>
      <c r="D10" s="45">
        <v>12</v>
      </c>
      <c r="E10" s="45">
        <v>12</v>
      </c>
      <c r="F10" s="45">
        <v>11</v>
      </c>
      <c r="G10" s="45">
        <v>10</v>
      </c>
      <c r="H10" s="45">
        <v>13</v>
      </c>
      <c r="I10" s="45">
        <v>14</v>
      </c>
      <c r="J10" s="123">
        <f t="shared" si="8"/>
        <v>83</v>
      </c>
    </row>
    <row r="11" spans="1:22" ht="16" x14ac:dyDescent="0.2">
      <c r="A11" s="44"/>
      <c r="B11" s="46" t="s">
        <v>92</v>
      </c>
      <c r="C11" s="45">
        <v>35</v>
      </c>
      <c r="D11" s="45">
        <v>25</v>
      </c>
      <c r="E11" s="45">
        <v>24</v>
      </c>
      <c r="F11" s="45">
        <v>23</v>
      </c>
      <c r="G11" s="45">
        <v>24</v>
      </c>
      <c r="H11" s="45">
        <v>38</v>
      </c>
      <c r="I11" s="45">
        <v>37</v>
      </c>
      <c r="J11" s="123">
        <f t="shared" si="8"/>
        <v>206</v>
      </c>
    </row>
    <row r="12" spans="1:22" ht="16" x14ac:dyDescent="0.2">
      <c r="A12" s="44"/>
      <c r="B12" s="42" t="s">
        <v>93</v>
      </c>
      <c r="C12" s="45">
        <v>48</v>
      </c>
      <c r="D12" s="45">
        <v>36</v>
      </c>
      <c r="E12" s="45">
        <v>32</v>
      </c>
      <c r="F12" s="45">
        <v>31</v>
      </c>
      <c r="G12" s="45">
        <v>34</v>
      </c>
      <c r="H12" s="45">
        <v>44</v>
      </c>
      <c r="I12" s="45">
        <v>49</v>
      </c>
      <c r="J12" s="123">
        <f t="shared" si="8"/>
        <v>274</v>
      </c>
    </row>
    <row r="13" spans="1:22" ht="16" x14ac:dyDescent="0.2">
      <c r="A13" s="345"/>
      <c r="B13" s="42" t="s">
        <v>94</v>
      </c>
      <c r="C13" s="45">
        <v>45</v>
      </c>
      <c r="D13" s="45">
        <v>31</v>
      </c>
      <c r="E13" s="45">
        <v>30</v>
      </c>
      <c r="F13" s="45">
        <v>32</v>
      </c>
      <c r="G13" s="45">
        <v>35</v>
      </c>
      <c r="H13" s="45">
        <v>43</v>
      </c>
      <c r="I13" s="45">
        <v>45</v>
      </c>
      <c r="J13" s="123">
        <f t="shared" si="8"/>
        <v>261</v>
      </c>
    </row>
    <row r="14" spans="1:22" ht="16" x14ac:dyDescent="0.2">
      <c r="A14" s="344"/>
      <c r="B14" s="47" t="s">
        <v>95</v>
      </c>
      <c r="C14" s="43">
        <v>33</v>
      </c>
      <c r="D14" s="43">
        <v>26</v>
      </c>
      <c r="E14" s="43">
        <v>21</v>
      </c>
      <c r="F14" s="43">
        <v>20</v>
      </c>
      <c r="G14" s="43">
        <v>23</v>
      </c>
      <c r="H14" s="43">
        <v>34</v>
      </c>
      <c r="I14" s="43">
        <v>35</v>
      </c>
      <c r="J14" s="48">
        <f t="shared" si="8"/>
        <v>192</v>
      </c>
    </row>
    <row r="15" spans="1:22" ht="16" x14ac:dyDescent="0.2">
      <c r="A15" s="344"/>
      <c r="B15" s="42" t="s">
        <v>96</v>
      </c>
      <c r="C15" s="43" t="s">
        <v>97</v>
      </c>
      <c r="D15" s="43">
        <v>11</v>
      </c>
      <c r="E15" s="43">
        <v>9</v>
      </c>
      <c r="F15" s="43">
        <v>10</v>
      </c>
      <c r="G15" s="43">
        <v>10</v>
      </c>
      <c r="H15" s="43">
        <v>31</v>
      </c>
      <c r="I15" s="43">
        <v>29</v>
      </c>
      <c r="J15" s="48">
        <f>SUM(C15:I15)</f>
        <v>100</v>
      </c>
    </row>
    <row r="16" spans="1:22" ht="16" x14ac:dyDescent="0.2">
      <c r="A16" s="344"/>
      <c r="B16" s="47" t="s">
        <v>98</v>
      </c>
      <c r="C16" s="43" t="s">
        <v>97</v>
      </c>
      <c r="D16" s="43">
        <v>9</v>
      </c>
      <c r="E16" s="43">
        <v>6</v>
      </c>
      <c r="F16" s="43">
        <v>10</v>
      </c>
      <c r="G16" s="43">
        <v>9</v>
      </c>
      <c r="H16" s="43">
        <v>20</v>
      </c>
      <c r="I16" s="43">
        <v>23</v>
      </c>
      <c r="J16" s="48">
        <f t="shared" si="8"/>
        <v>77</v>
      </c>
    </row>
    <row r="17" spans="1:11" ht="16" x14ac:dyDescent="0.2">
      <c r="A17" s="344"/>
      <c r="B17" s="47" t="s">
        <v>99</v>
      </c>
      <c r="C17" s="43" t="s">
        <v>97</v>
      </c>
      <c r="D17" s="43">
        <v>3</v>
      </c>
      <c r="E17" s="43">
        <v>5</v>
      </c>
      <c r="F17" s="43">
        <v>4</v>
      </c>
      <c r="G17" s="43">
        <v>6</v>
      </c>
      <c r="H17" s="43">
        <v>14</v>
      </c>
      <c r="I17" s="43">
        <v>13</v>
      </c>
      <c r="J17" s="48">
        <f>SUM(C17:I17)</f>
        <v>45</v>
      </c>
    </row>
    <row r="18" spans="1:11" ht="16" x14ac:dyDescent="0.2">
      <c r="A18" s="344"/>
      <c r="B18" s="48" t="s">
        <v>100</v>
      </c>
      <c r="C18" s="48">
        <f>SUM(C5:C16)</f>
        <v>268</v>
      </c>
      <c r="D18" s="48">
        <f>SUM(D5:D16)</f>
        <v>217</v>
      </c>
      <c r="E18" s="48">
        <f>SUM(E5:E16)</f>
        <v>202</v>
      </c>
      <c r="F18" s="48">
        <f>SUM(F5:F16)</f>
        <v>208</v>
      </c>
      <c r="G18" s="48">
        <f>SUM(G5:G17)</f>
        <v>219</v>
      </c>
      <c r="H18" s="48">
        <f>SUM(H5:H16)</f>
        <v>310</v>
      </c>
      <c r="I18" s="48">
        <f>SUM(I5:I16)</f>
        <v>346</v>
      </c>
      <c r="J18" s="48">
        <f>SUM(C18:I18)</f>
        <v>1770</v>
      </c>
    </row>
    <row r="19" spans="1:11" ht="16" x14ac:dyDescent="0.2">
      <c r="A19" s="344"/>
      <c r="B19" s="48" t="s">
        <v>101</v>
      </c>
      <c r="C19" s="49">
        <f>IF($C$3="","",C18/$C$3)</f>
        <v>5.36</v>
      </c>
      <c r="D19" s="49">
        <f t="shared" ref="D19:J19" si="9">IF($C$3="","",D18/$C$3)</f>
        <v>4.34</v>
      </c>
      <c r="E19" s="49">
        <f t="shared" si="9"/>
        <v>4.04</v>
      </c>
      <c r="F19" s="49">
        <f t="shared" si="9"/>
        <v>4.16</v>
      </c>
      <c r="G19" s="49">
        <f t="shared" si="9"/>
        <v>4.38</v>
      </c>
      <c r="H19" s="49">
        <f t="shared" si="9"/>
        <v>6.2</v>
      </c>
      <c r="I19" s="49">
        <f t="shared" si="9"/>
        <v>6.92</v>
      </c>
      <c r="J19" s="49">
        <f t="shared" si="9"/>
        <v>35.4</v>
      </c>
    </row>
    <row r="20" spans="1:11" ht="16" x14ac:dyDescent="0.2">
      <c r="A20" s="344"/>
      <c r="B20" s="51" t="s">
        <v>102</v>
      </c>
      <c r="C20" s="321">
        <f>'Menu Mix'!$G$38</f>
        <v>21.9</v>
      </c>
      <c r="D20" s="50">
        <f>'Menu Mix'!$G$38</f>
        <v>21.9</v>
      </c>
      <c r="E20" s="50">
        <f>'Menu Mix'!$G$38</f>
        <v>21.9</v>
      </c>
      <c r="F20" s="50">
        <f>'Menu Mix'!$G$38</f>
        <v>21.9</v>
      </c>
      <c r="G20" s="50">
        <f>'Menu Mix'!$G$38</f>
        <v>21.9</v>
      </c>
      <c r="H20" s="50">
        <f>'Menu Mix'!$G$38</f>
        <v>21.9</v>
      </c>
      <c r="I20" s="50">
        <f>'Menu Mix'!$G$38</f>
        <v>21.9</v>
      </c>
      <c r="J20" s="50">
        <f>IFERROR(J22/$J$18,0)</f>
        <v>21.9</v>
      </c>
    </row>
    <row r="21" spans="1:11" ht="16" x14ac:dyDescent="0.2">
      <c r="A21" s="344"/>
      <c r="B21" s="51" t="s">
        <v>103</v>
      </c>
      <c r="C21" s="50">
        <f>'Menu Mix'!$H$38</f>
        <v>7.5575000000000001</v>
      </c>
      <c r="D21" s="50">
        <f>'Menu Mix'!$H$38</f>
        <v>7.5575000000000001</v>
      </c>
      <c r="E21" s="50">
        <f>'Menu Mix'!$H$38</f>
        <v>7.5575000000000001</v>
      </c>
      <c r="F21" s="50">
        <f>'Menu Mix'!$H$38</f>
        <v>7.5575000000000001</v>
      </c>
      <c r="G21" s="50">
        <f>'Menu Mix'!$H$38</f>
        <v>7.5575000000000001</v>
      </c>
      <c r="H21" s="50">
        <f>'Menu Mix'!$H$38</f>
        <v>7.5575000000000001</v>
      </c>
      <c r="I21" s="50">
        <f>'Menu Mix'!$H$38</f>
        <v>7.5575000000000001</v>
      </c>
      <c r="J21" s="50">
        <f>IFERROR(J23/$J$18,0)</f>
        <v>7.557500000000001</v>
      </c>
    </row>
    <row r="22" spans="1:11" ht="16" x14ac:dyDescent="0.2">
      <c r="A22" s="346"/>
      <c r="B22" s="51" t="s">
        <v>104</v>
      </c>
      <c r="C22" s="50">
        <f t="shared" ref="C22:I22" si="10">C18*C20</f>
        <v>5869.2</v>
      </c>
      <c r="D22" s="50">
        <f t="shared" si="10"/>
        <v>4752.2999999999993</v>
      </c>
      <c r="E22" s="50">
        <f t="shared" si="10"/>
        <v>4423.7999999999993</v>
      </c>
      <c r="F22" s="50">
        <f t="shared" si="10"/>
        <v>4555.2</v>
      </c>
      <c r="G22" s="50">
        <f t="shared" si="10"/>
        <v>4796.0999999999995</v>
      </c>
      <c r="H22" s="50">
        <f t="shared" si="10"/>
        <v>6789</v>
      </c>
      <c r="I22" s="50">
        <f t="shared" si="10"/>
        <v>7577.4</v>
      </c>
      <c r="J22" s="50">
        <f>SUM(C22:I22)</f>
        <v>38763</v>
      </c>
      <c r="K22" s="122"/>
    </row>
    <row r="23" spans="1:11" ht="16" x14ac:dyDescent="0.2">
      <c r="A23" s="52"/>
      <c r="B23" s="51" t="s">
        <v>105</v>
      </c>
      <c r="C23" s="50">
        <f>C18*C21</f>
        <v>2025.41</v>
      </c>
      <c r="D23" s="50">
        <f t="shared" ref="D23:I23" si="11">D18*D21</f>
        <v>1639.9775</v>
      </c>
      <c r="E23" s="50">
        <f t="shared" si="11"/>
        <v>1526.615</v>
      </c>
      <c r="F23" s="50">
        <f t="shared" si="11"/>
        <v>1571.96</v>
      </c>
      <c r="G23" s="50">
        <f t="shared" si="11"/>
        <v>1655.0925</v>
      </c>
      <c r="H23" s="50">
        <f t="shared" si="11"/>
        <v>2342.8249999999998</v>
      </c>
      <c r="I23" s="50">
        <f t="shared" si="11"/>
        <v>2614.895</v>
      </c>
      <c r="J23" s="50">
        <f>SUM(C23:I23)</f>
        <v>13376.775000000001</v>
      </c>
    </row>
    <row r="24" spans="1:11" ht="16" x14ac:dyDescent="0.2">
      <c r="A24" s="347"/>
      <c r="B24" s="348"/>
      <c r="C24" s="348"/>
      <c r="D24" s="348"/>
      <c r="E24" s="348"/>
      <c r="F24" s="348"/>
      <c r="G24" s="348"/>
      <c r="H24" s="348"/>
      <c r="I24" s="348"/>
      <c r="J24" s="349"/>
    </row>
    <row r="25" spans="1:11" ht="16" x14ac:dyDescent="0.2">
      <c r="A25" s="350"/>
      <c r="B25" s="53" t="s">
        <v>106</v>
      </c>
      <c r="C25" s="54">
        <f t="shared" ref="C25:J25" si="12">C22</f>
        <v>5869.2</v>
      </c>
      <c r="D25" s="54">
        <f t="shared" si="12"/>
        <v>4752.2999999999993</v>
      </c>
      <c r="E25" s="54">
        <f t="shared" si="12"/>
        <v>4423.7999999999993</v>
      </c>
      <c r="F25" s="54">
        <f t="shared" si="12"/>
        <v>4555.2</v>
      </c>
      <c r="G25" s="54">
        <f t="shared" si="12"/>
        <v>4796.0999999999995</v>
      </c>
      <c r="H25" s="54">
        <f t="shared" si="12"/>
        <v>6789</v>
      </c>
      <c r="I25" s="54">
        <f t="shared" si="12"/>
        <v>7577.4</v>
      </c>
      <c r="J25" s="54">
        <f t="shared" si="12"/>
        <v>38763</v>
      </c>
    </row>
    <row r="26" spans="1:11" ht="16" x14ac:dyDescent="0.2">
      <c r="A26" s="351"/>
      <c r="B26" s="327" t="s">
        <v>107</v>
      </c>
      <c r="C26" s="116">
        <f t="shared" ref="C26:J26" si="13">C18</f>
        <v>268</v>
      </c>
      <c r="D26" s="116">
        <f t="shared" si="13"/>
        <v>217</v>
      </c>
      <c r="E26" s="116">
        <f t="shared" si="13"/>
        <v>202</v>
      </c>
      <c r="F26" s="116">
        <f t="shared" si="13"/>
        <v>208</v>
      </c>
      <c r="G26" s="116">
        <f t="shared" si="13"/>
        <v>219</v>
      </c>
      <c r="H26" s="116">
        <f t="shared" si="13"/>
        <v>310</v>
      </c>
      <c r="I26" s="116">
        <f t="shared" si="13"/>
        <v>346</v>
      </c>
      <c r="J26" s="116">
        <f t="shared" si="13"/>
        <v>1770</v>
      </c>
    </row>
    <row r="27" spans="1:11" ht="16" x14ac:dyDescent="0.2">
      <c r="A27" s="352"/>
      <c r="B27" s="327" t="s">
        <v>108</v>
      </c>
      <c r="C27" s="49">
        <f>C19</f>
        <v>5.36</v>
      </c>
      <c r="D27" s="49">
        <f t="shared" ref="D27:J27" si="14">D19</f>
        <v>4.34</v>
      </c>
      <c r="E27" s="49">
        <f t="shared" si="14"/>
        <v>4.04</v>
      </c>
      <c r="F27" s="49">
        <f t="shared" si="14"/>
        <v>4.16</v>
      </c>
      <c r="G27" s="49">
        <f t="shared" si="14"/>
        <v>4.38</v>
      </c>
      <c r="H27" s="49">
        <f t="shared" si="14"/>
        <v>6.2</v>
      </c>
      <c r="I27" s="49">
        <f t="shared" si="14"/>
        <v>6.92</v>
      </c>
      <c r="J27" s="49">
        <f t="shared" si="14"/>
        <v>35.4</v>
      </c>
    </row>
    <row r="29" spans="1:11" x14ac:dyDescent="0.15">
      <c r="C29" s="55"/>
      <c r="D29" s="335"/>
    </row>
    <row r="30" spans="1:11" x14ac:dyDescent="0.15">
      <c r="D30" s="55"/>
    </row>
  </sheetData>
  <mergeCells count="6">
    <mergeCell ref="A1:J1"/>
    <mergeCell ref="A5:A9"/>
    <mergeCell ref="A13:A22"/>
    <mergeCell ref="A24:J24"/>
    <mergeCell ref="A25:A27"/>
    <mergeCell ref="A2:J2"/>
  </mergeCells>
  <pageMargins left="0.7" right="0.7" top="0.75" bottom="0.75" header="0.3" footer="0.3"/>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7"/>
  <sheetViews>
    <sheetView zoomScale="115" zoomScaleNormal="115" zoomScalePageLayoutView="115" workbookViewId="0">
      <selection sqref="A1:J1"/>
    </sheetView>
  </sheetViews>
  <sheetFormatPr baseColWidth="10" defaultColWidth="8.83203125" defaultRowHeight="14" x14ac:dyDescent="0.15"/>
  <cols>
    <col min="1" max="1" width="1.1640625" style="25" customWidth="1"/>
    <col min="2" max="2" width="20" style="25" customWidth="1"/>
    <col min="3" max="10" width="11.5" style="25" customWidth="1"/>
    <col min="11" max="16384" width="8.83203125" style="25"/>
  </cols>
  <sheetData>
    <row r="1" spans="1:10" ht="16" x14ac:dyDescent="0.2">
      <c r="A1" s="343" t="s">
        <v>109</v>
      </c>
      <c r="B1" s="343"/>
      <c r="C1" s="343"/>
      <c r="D1" s="343"/>
      <c r="E1" s="343"/>
      <c r="F1" s="343"/>
      <c r="G1" s="343"/>
      <c r="H1" s="343"/>
      <c r="I1" s="343"/>
      <c r="J1" s="343"/>
    </row>
    <row r="2" spans="1:10" x14ac:dyDescent="0.15">
      <c r="B2" s="40" t="s">
        <v>110</v>
      </c>
      <c r="C2" s="59" t="s">
        <v>111</v>
      </c>
    </row>
    <row r="3" spans="1:10" ht="16" x14ac:dyDescent="0.2">
      <c r="B3" s="41"/>
      <c r="C3" s="42" t="s">
        <v>69</v>
      </c>
      <c r="D3" s="42" t="s">
        <v>70</v>
      </c>
      <c r="E3" s="42" t="s">
        <v>71</v>
      </c>
      <c r="F3" s="42" t="s">
        <v>72</v>
      </c>
      <c r="G3" s="42" t="s">
        <v>73</v>
      </c>
      <c r="H3" s="42" t="s">
        <v>74</v>
      </c>
      <c r="I3" s="42" t="s">
        <v>75</v>
      </c>
      <c r="J3" s="48" t="s">
        <v>80</v>
      </c>
    </row>
    <row r="4" spans="1:10" ht="16" x14ac:dyDescent="0.2">
      <c r="B4" s="42" t="s">
        <v>95</v>
      </c>
      <c r="C4" s="42"/>
      <c r="D4" s="42"/>
      <c r="E4" s="42"/>
      <c r="F4" s="42"/>
      <c r="G4" s="42"/>
      <c r="H4" s="42"/>
      <c r="I4" s="42"/>
      <c r="J4" s="48">
        <f>SUM(C4:I4)</f>
        <v>0</v>
      </c>
    </row>
    <row r="5" spans="1:10" ht="16" x14ac:dyDescent="0.2">
      <c r="A5" s="345"/>
      <c r="B5" s="42" t="s">
        <v>112</v>
      </c>
      <c r="C5" s="42"/>
      <c r="D5" s="42"/>
      <c r="E5" s="42"/>
      <c r="F5" s="42"/>
      <c r="G5" s="42"/>
      <c r="H5" s="42"/>
      <c r="I5" s="42"/>
      <c r="J5" s="48">
        <f t="shared" ref="J5:J17" si="0">SUM(C5:I5)</f>
        <v>0</v>
      </c>
    </row>
    <row r="6" spans="1:10" ht="16" x14ac:dyDescent="0.2">
      <c r="A6" s="344"/>
      <c r="B6" s="42" t="s">
        <v>113</v>
      </c>
      <c r="C6" s="42"/>
      <c r="D6" s="42"/>
      <c r="E6" s="42"/>
      <c r="F6" s="42"/>
      <c r="G6" s="42"/>
      <c r="H6" s="42"/>
      <c r="I6" s="42"/>
      <c r="J6" s="48">
        <f t="shared" si="0"/>
        <v>0</v>
      </c>
    </row>
    <row r="7" spans="1:10" ht="16" x14ac:dyDescent="0.2">
      <c r="A7" s="344"/>
      <c r="B7" s="42" t="s">
        <v>82</v>
      </c>
      <c r="C7" s="42"/>
      <c r="D7" s="42"/>
      <c r="E7" s="42"/>
      <c r="F7" s="42"/>
      <c r="G7" s="42"/>
      <c r="H7" s="42"/>
      <c r="I7" s="42"/>
      <c r="J7" s="48">
        <f t="shared" si="0"/>
        <v>0</v>
      </c>
    </row>
    <row r="8" spans="1:10" ht="16" x14ac:dyDescent="0.2">
      <c r="A8" s="344"/>
      <c r="B8" s="42" t="s">
        <v>84</v>
      </c>
      <c r="C8" s="42"/>
      <c r="D8" s="42"/>
      <c r="E8" s="42"/>
      <c r="F8" s="42"/>
      <c r="G8" s="42"/>
      <c r="H8" s="42"/>
      <c r="I8" s="42"/>
      <c r="J8" s="48">
        <f t="shared" si="0"/>
        <v>0</v>
      </c>
    </row>
    <row r="9" spans="1:10" ht="16" x14ac:dyDescent="0.2">
      <c r="A9" s="344"/>
      <c r="B9" s="42" t="s">
        <v>86</v>
      </c>
      <c r="C9" s="42"/>
      <c r="D9" s="42"/>
      <c r="E9" s="42"/>
      <c r="F9" s="42"/>
      <c r="G9" s="42"/>
      <c r="H9" s="42"/>
      <c r="I9" s="42"/>
      <c r="J9" s="48">
        <f t="shared" si="0"/>
        <v>0</v>
      </c>
    </row>
    <row r="10" spans="1:10" ht="16" x14ac:dyDescent="0.2">
      <c r="A10" s="344"/>
      <c r="B10" s="42" t="s">
        <v>88</v>
      </c>
      <c r="C10" s="42"/>
      <c r="D10" s="42"/>
      <c r="E10" s="42"/>
      <c r="F10" s="42"/>
      <c r="G10" s="42"/>
      <c r="H10" s="42"/>
      <c r="I10" s="42"/>
      <c r="J10" s="48">
        <f t="shared" si="0"/>
        <v>0</v>
      </c>
    </row>
    <row r="11" spans="1:10" ht="16" x14ac:dyDescent="0.2">
      <c r="A11" s="344"/>
      <c r="B11" s="42" t="s">
        <v>90</v>
      </c>
      <c r="C11" s="42"/>
      <c r="D11" s="42"/>
      <c r="E11" s="42"/>
      <c r="F11" s="42"/>
      <c r="G11" s="42"/>
      <c r="H11" s="42"/>
      <c r="I11" s="42"/>
      <c r="J11" s="48">
        <f t="shared" si="0"/>
        <v>0</v>
      </c>
    </row>
    <row r="12" spans="1:10" ht="16" x14ac:dyDescent="0.2">
      <c r="A12" s="344"/>
      <c r="B12" s="42" t="s">
        <v>91</v>
      </c>
      <c r="C12" s="42"/>
      <c r="D12" s="42"/>
      <c r="E12" s="42"/>
      <c r="F12" s="42"/>
      <c r="G12" s="42"/>
      <c r="H12" s="42"/>
      <c r="I12" s="42"/>
      <c r="J12" s="48">
        <f t="shared" si="0"/>
        <v>0</v>
      </c>
    </row>
    <row r="13" spans="1:10" ht="16" x14ac:dyDescent="0.2">
      <c r="A13" s="344"/>
      <c r="B13" s="46" t="s">
        <v>92</v>
      </c>
      <c r="C13" s="42"/>
      <c r="D13" s="42"/>
      <c r="E13" s="42"/>
      <c r="F13" s="42"/>
      <c r="G13" s="42"/>
      <c r="H13" s="42"/>
      <c r="I13" s="42"/>
      <c r="J13" s="48">
        <f t="shared" si="0"/>
        <v>0</v>
      </c>
    </row>
    <row r="14" spans="1:10" ht="16" x14ac:dyDescent="0.2">
      <c r="A14" s="344"/>
      <c r="B14" s="42" t="s">
        <v>93</v>
      </c>
      <c r="C14" s="42"/>
      <c r="D14" s="42"/>
      <c r="E14" s="42"/>
      <c r="F14" s="42"/>
      <c r="G14" s="42"/>
      <c r="H14" s="42"/>
      <c r="I14" s="42"/>
      <c r="J14" s="48">
        <f t="shared" si="0"/>
        <v>0</v>
      </c>
    </row>
    <row r="15" spans="1:10" ht="16" x14ac:dyDescent="0.2">
      <c r="A15" s="344"/>
      <c r="B15" s="42" t="s">
        <v>94</v>
      </c>
      <c r="C15" s="42"/>
      <c r="D15" s="42"/>
      <c r="E15" s="42"/>
      <c r="F15" s="42"/>
      <c r="G15" s="42"/>
      <c r="H15" s="42"/>
      <c r="I15" s="42"/>
      <c r="J15" s="48">
        <f t="shared" si="0"/>
        <v>0</v>
      </c>
    </row>
    <row r="16" spans="1:10" ht="16" x14ac:dyDescent="0.2">
      <c r="A16" s="344"/>
      <c r="B16" s="47" t="s">
        <v>95</v>
      </c>
      <c r="C16" s="42"/>
      <c r="D16" s="42"/>
      <c r="E16" s="42"/>
      <c r="F16" s="42"/>
      <c r="G16" s="42"/>
      <c r="H16" s="42"/>
      <c r="I16" s="42"/>
      <c r="J16" s="48">
        <f t="shared" si="0"/>
        <v>0</v>
      </c>
    </row>
    <row r="17" spans="1:14" ht="16" x14ac:dyDescent="0.2">
      <c r="A17" s="344"/>
      <c r="B17" s="47" t="s">
        <v>112</v>
      </c>
      <c r="C17" s="42"/>
      <c r="D17" s="42"/>
      <c r="E17" s="42"/>
      <c r="F17" s="42"/>
      <c r="G17" s="42"/>
      <c r="H17" s="42"/>
      <c r="I17" s="42"/>
      <c r="J17" s="48">
        <f t="shared" si="0"/>
        <v>0</v>
      </c>
      <c r="N17" s="124"/>
    </row>
    <row r="18" spans="1:14" ht="16" x14ac:dyDescent="0.2">
      <c r="A18" s="344"/>
      <c r="B18" s="48" t="s">
        <v>114</v>
      </c>
      <c r="C18" s="125">
        <f>SUM(C4:C17)</f>
        <v>0</v>
      </c>
      <c r="D18" s="125">
        <f t="shared" ref="D18:I18" si="1">SUM(D4:D17)</f>
        <v>0</v>
      </c>
      <c r="E18" s="125">
        <f t="shared" si="1"/>
        <v>0</v>
      </c>
      <c r="F18" s="125">
        <f t="shared" si="1"/>
        <v>0</v>
      </c>
      <c r="G18" s="125">
        <f t="shared" si="1"/>
        <v>0</v>
      </c>
      <c r="H18" s="125">
        <f t="shared" si="1"/>
        <v>0</v>
      </c>
      <c r="I18" s="125">
        <f t="shared" si="1"/>
        <v>0</v>
      </c>
      <c r="J18" s="125">
        <f>SUM(C18:I18)</f>
        <v>0</v>
      </c>
    </row>
    <row r="19" spans="1:14" ht="16" x14ac:dyDescent="0.2">
      <c r="A19" s="356"/>
      <c r="B19" s="356"/>
      <c r="C19" s="356"/>
      <c r="D19" s="356"/>
      <c r="E19" s="356"/>
      <c r="F19" s="356"/>
      <c r="G19" s="356"/>
      <c r="H19" s="356"/>
      <c r="I19" s="356"/>
      <c r="J19" s="356"/>
    </row>
    <row r="20" spans="1:14" x14ac:dyDescent="0.15">
      <c r="A20" s="357"/>
      <c r="B20" s="40" t="s">
        <v>110</v>
      </c>
      <c r="C20" s="59" t="s">
        <v>115</v>
      </c>
    </row>
    <row r="21" spans="1:14" ht="16" x14ac:dyDescent="0.2">
      <c r="A21" s="358"/>
      <c r="B21" s="42" t="s">
        <v>94</v>
      </c>
      <c r="C21" s="42"/>
      <c r="D21" s="42"/>
      <c r="E21" s="42"/>
      <c r="F21" s="42"/>
      <c r="G21" s="42"/>
      <c r="H21" s="42"/>
      <c r="I21" s="42"/>
      <c r="J21" s="48">
        <f t="shared" ref="J21:J25" si="2">SUM(C21:I21)</f>
        <v>0</v>
      </c>
    </row>
    <row r="22" spans="1:14" ht="16" x14ac:dyDescent="0.2">
      <c r="A22" s="358"/>
      <c r="B22" s="47" t="s">
        <v>95</v>
      </c>
      <c r="C22" s="42"/>
      <c r="D22" s="42"/>
      <c r="E22" s="42"/>
      <c r="F22" s="42"/>
      <c r="G22" s="42"/>
      <c r="H22" s="42"/>
      <c r="I22" s="42"/>
      <c r="J22" s="48">
        <f t="shared" si="2"/>
        <v>0</v>
      </c>
    </row>
    <row r="23" spans="1:14" ht="16" x14ac:dyDescent="0.2">
      <c r="A23" s="358"/>
      <c r="B23" s="47" t="s">
        <v>112</v>
      </c>
      <c r="C23" s="42"/>
      <c r="D23" s="42"/>
      <c r="E23" s="42"/>
      <c r="F23" s="42"/>
      <c r="G23" s="42"/>
      <c r="H23" s="42"/>
      <c r="I23" s="42"/>
      <c r="J23" s="48">
        <f t="shared" si="2"/>
        <v>0</v>
      </c>
    </row>
    <row r="24" spans="1:14" ht="16" x14ac:dyDescent="0.2">
      <c r="A24" s="358"/>
      <c r="B24" s="42" t="s">
        <v>113</v>
      </c>
      <c r="C24" s="42"/>
      <c r="D24" s="42"/>
      <c r="E24" s="42"/>
      <c r="F24" s="42"/>
      <c r="G24" s="42"/>
      <c r="H24" s="42"/>
      <c r="I24" s="42"/>
      <c r="J24" s="48">
        <f t="shared" si="2"/>
        <v>0</v>
      </c>
    </row>
    <row r="25" spans="1:14" ht="16" x14ac:dyDescent="0.2">
      <c r="A25" s="358"/>
      <c r="B25" s="42" t="s">
        <v>82</v>
      </c>
      <c r="C25" s="42"/>
      <c r="D25" s="42"/>
      <c r="E25" s="42"/>
      <c r="F25" s="42"/>
      <c r="G25" s="42"/>
      <c r="H25" s="42"/>
      <c r="I25" s="42"/>
      <c r="J25" s="48">
        <f t="shared" si="2"/>
        <v>0</v>
      </c>
    </row>
    <row r="26" spans="1:14" ht="16" x14ac:dyDescent="0.2">
      <c r="A26" s="358"/>
      <c r="B26" s="48" t="s">
        <v>114</v>
      </c>
      <c r="C26" s="125">
        <f t="shared" ref="C26:I26" si="3">SUM(C20:C25)</f>
        <v>0</v>
      </c>
      <c r="D26" s="125">
        <f t="shared" si="3"/>
        <v>0</v>
      </c>
      <c r="E26" s="125">
        <f t="shared" si="3"/>
        <v>0</v>
      </c>
      <c r="F26" s="125">
        <f t="shared" si="3"/>
        <v>0</v>
      </c>
      <c r="G26" s="125">
        <f t="shared" si="3"/>
        <v>0</v>
      </c>
      <c r="H26" s="125">
        <f t="shared" si="3"/>
        <v>0</v>
      </c>
      <c r="I26" s="125">
        <f t="shared" si="3"/>
        <v>0</v>
      </c>
      <c r="J26" s="125">
        <f>SUM(C26:I26)</f>
        <v>0</v>
      </c>
    </row>
    <row r="27" spans="1:14" x14ac:dyDescent="0.15">
      <c r="A27" s="359"/>
      <c r="B27" s="360"/>
      <c r="C27" s="360"/>
      <c r="D27" s="360"/>
      <c r="E27" s="360"/>
      <c r="F27" s="360"/>
      <c r="G27" s="360"/>
      <c r="H27" s="360"/>
      <c r="I27" s="360"/>
      <c r="J27" s="361"/>
    </row>
  </sheetData>
  <mergeCells count="5">
    <mergeCell ref="A1:J1"/>
    <mergeCell ref="A5:A18"/>
    <mergeCell ref="A19:J19"/>
    <mergeCell ref="A20:A26"/>
    <mergeCell ref="A27:J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zoomScale="75" zoomScaleNormal="205" zoomScalePageLayoutView="205" workbookViewId="0">
      <selection activeCell="L13" sqref="L13"/>
    </sheetView>
  </sheetViews>
  <sheetFormatPr baseColWidth="10" defaultColWidth="12.5" defaultRowHeight="14" x14ac:dyDescent="0.15"/>
  <cols>
    <col min="1" max="1" width="4.5" style="25" customWidth="1"/>
    <col min="2" max="2" width="26.5" style="25" bestFit="1" customWidth="1"/>
    <col min="3" max="3" width="14.5" style="25" bestFit="1" customWidth="1"/>
    <col min="4" max="4" width="13" style="25" bestFit="1" customWidth="1"/>
    <col min="5" max="6" width="12.5" style="25"/>
    <col min="7" max="7" width="15.5" style="25" customWidth="1"/>
    <col min="8" max="8" width="20.33203125" style="58" customWidth="1"/>
    <col min="9" max="9" width="13" style="25" bestFit="1" customWidth="1"/>
    <col min="10" max="16384" width="12.5" style="25"/>
  </cols>
  <sheetData>
    <row r="1" spans="1:9" x14ac:dyDescent="0.15">
      <c r="B1" s="126"/>
      <c r="C1" s="127" t="s">
        <v>116</v>
      </c>
      <c r="D1" s="128" t="s">
        <v>117</v>
      </c>
      <c r="E1" s="129" t="s">
        <v>118</v>
      </c>
      <c r="F1" s="129" t="s">
        <v>119</v>
      </c>
      <c r="G1" s="129" t="s">
        <v>120</v>
      </c>
      <c r="H1" s="127" t="s">
        <v>121</v>
      </c>
      <c r="I1" s="130" t="s">
        <v>122</v>
      </c>
    </row>
    <row r="2" spans="1:9" x14ac:dyDescent="0.15">
      <c r="B2" s="131" t="s">
        <v>123</v>
      </c>
      <c r="C2" s="132"/>
      <c r="D2" s="133"/>
      <c r="E2" s="133"/>
      <c r="F2" s="133"/>
      <c r="G2" s="133"/>
      <c r="H2" s="133"/>
      <c r="I2" s="134"/>
    </row>
    <row r="3" spans="1:9" ht="14" customHeight="1" x14ac:dyDescent="0.15">
      <c r="A3" s="363" t="s">
        <v>124</v>
      </c>
      <c r="B3" s="135" t="s">
        <v>125</v>
      </c>
      <c r="C3" s="136">
        <v>59000</v>
      </c>
      <c r="D3" s="137">
        <f>C3/12</f>
        <v>4916.666666666667</v>
      </c>
      <c r="E3" s="137">
        <f>C3/52</f>
        <v>1134.6153846153845</v>
      </c>
      <c r="F3" s="137">
        <f>C3/365</f>
        <v>161.64383561643837</v>
      </c>
      <c r="G3" s="133" t="s">
        <v>126</v>
      </c>
      <c r="H3" s="133" t="s">
        <v>126</v>
      </c>
      <c r="I3" s="138" t="s">
        <v>126</v>
      </c>
    </row>
    <row r="4" spans="1:9" x14ac:dyDescent="0.15">
      <c r="A4" s="363"/>
      <c r="B4" s="135" t="s">
        <v>127</v>
      </c>
      <c r="C4" s="136">
        <v>46000</v>
      </c>
      <c r="D4" s="137">
        <f>C4/12</f>
        <v>3833.3333333333335</v>
      </c>
      <c r="E4" s="137">
        <f>C4/52</f>
        <v>884.61538461538464</v>
      </c>
      <c r="F4" s="137">
        <f>C4/365</f>
        <v>126.02739726027397</v>
      </c>
      <c r="G4" s="133" t="s">
        <v>126</v>
      </c>
      <c r="H4" s="133" t="s">
        <v>126</v>
      </c>
      <c r="I4" s="138" t="s">
        <v>126</v>
      </c>
    </row>
    <row r="5" spans="1:9" x14ac:dyDescent="0.15">
      <c r="A5" s="363"/>
      <c r="B5" s="135"/>
      <c r="C5" s="136"/>
      <c r="D5" s="137"/>
      <c r="E5" s="137"/>
      <c r="F5" s="137"/>
      <c r="G5" s="133"/>
      <c r="H5" s="133"/>
      <c r="I5" s="138"/>
    </row>
    <row r="6" spans="1:9" x14ac:dyDescent="0.15">
      <c r="A6" s="364"/>
      <c r="B6" s="135"/>
      <c r="C6" s="136"/>
      <c r="D6" s="137"/>
      <c r="E6" s="137"/>
      <c r="F6" s="137"/>
      <c r="G6" s="133"/>
      <c r="H6" s="133"/>
      <c r="I6" s="138"/>
    </row>
    <row r="7" spans="1:9" ht="14" customHeight="1" x14ac:dyDescent="0.15">
      <c r="A7" s="363" t="s">
        <v>128</v>
      </c>
      <c r="B7" s="135"/>
      <c r="C7" s="136"/>
      <c r="D7" s="137"/>
      <c r="E7" s="137"/>
      <c r="F7" s="137"/>
      <c r="G7" s="133"/>
      <c r="H7" s="133"/>
      <c r="I7" s="138"/>
    </row>
    <row r="8" spans="1:9" x14ac:dyDescent="0.15">
      <c r="A8" s="363"/>
      <c r="B8" s="135"/>
      <c r="C8" s="136"/>
      <c r="D8" s="137"/>
      <c r="E8" s="137"/>
      <c r="F8" s="137"/>
      <c r="G8" s="133"/>
      <c r="H8" s="133"/>
      <c r="I8" s="138"/>
    </row>
    <row r="9" spans="1:9" x14ac:dyDescent="0.15">
      <c r="A9" s="363"/>
      <c r="B9" s="135"/>
      <c r="C9" s="136"/>
      <c r="D9" s="137"/>
      <c r="E9" s="137"/>
      <c r="F9" s="137"/>
      <c r="G9" s="133"/>
      <c r="H9" s="133"/>
      <c r="I9" s="138"/>
    </row>
    <row r="10" spans="1:9" x14ac:dyDescent="0.15">
      <c r="B10" s="313" t="s">
        <v>129</v>
      </c>
      <c r="C10" s="139">
        <f>SUM(C3:C9)</f>
        <v>105000</v>
      </c>
      <c r="D10" s="139">
        <f>SUM(D3:D9)</f>
        <v>8750</v>
      </c>
      <c r="E10" s="139">
        <f>SUM(E3:E9)</f>
        <v>2019.2307692307691</v>
      </c>
      <c r="F10" s="139">
        <f>SUM(F3:F9)</f>
        <v>287.67123287671234</v>
      </c>
      <c r="G10" s="133"/>
      <c r="H10" s="133"/>
      <c r="I10" s="138"/>
    </row>
    <row r="11" spans="1:9" x14ac:dyDescent="0.15">
      <c r="B11" s="140" t="s">
        <v>130</v>
      </c>
      <c r="C11" s="141"/>
      <c r="D11" s="142"/>
      <c r="E11" s="142"/>
      <c r="F11" s="142"/>
      <c r="G11" s="143"/>
      <c r="H11" s="143"/>
      <c r="I11" s="144"/>
    </row>
    <row r="12" spans="1:9" x14ac:dyDescent="0.15">
      <c r="A12" s="363" t="s">
        <v>124</v>
      </c>
      <c r="B12" s="329" t="str">
        <f>'Hourly Customer'!M3</f>
        <v>AM Bartender</v>
      </c>
      <c r="C12" s="141">
        <f>D12*12</f>
        <v>93384.110769230756</v>
      </c>
      <c r="D12" s="142">
        <f>E12*4.33</f>
        <v>7782.0092307692303</v>
      </c>
      <c r="E12" s="142">
        <f t="shared" ref="E12:E15" si="0">F12*7</f>
        <v>1797.2307692307691</v>
      </c>
      <c r="F12" s="142">
        <f t="shared" ref="F12:F17" si="1">I12*H12*G12</f>
        <v>256.74725274725273</v>
      </c>
      <c r="G12" s="145">
        <v>6</v>
      </c>
      <c r="H12" s="312">
        <f>'Hourly Customer'!V3</f>
        <v>3.8901098901098901</v>
      </c>
      <c r="I12" s="146">
        <v>11</v>
      </c>
    </row>
    <row r="13" spans="1:9" x14ac:dyDescent="0.15">
      <c r="A13" s="363"/>
      <c r="B13" s="329" t="str">
        <f>'Hourly Customer'!M4</f>
        <v>PM Bartender</v>
      </c>
      <c r="C13" s="141">
        <f t="shared" ref="C13:C15" si="2">D13*12</f>
        <v>93384.110769230756</v>
      </c>
      <c r="D13" s="142">
        <f>E13*4.33</f>
        <v>7782.0092307692303</v>
      </c>
      <c r="E13" s="142">
        <f t="shared" si="0"/>
        <v>1797.2307692307691</v>
      </c>
      <c r="F13" s="142">
        <f t="shared" si="1"/>
        <v>256.74725274725273</v>
      </c>
      <c r="G13" s="145">
        <v>6</v>
      </c>
      <c r="H13" s="312">
        <f>'Hourly Customer'!V4</f>
        <v>3.8901098901098901</v>
      </c>
      <c r="I13" s="146">
        <v>11</v>
      </c>
    </row>
    <row r="14" spans="1:9" x14ac:dyDescent="0.15">
      <c r="A14" s="363"/>
      <c r="B14" s="331" t="str">
        <f>'Hourly Customer'!M7</f>
        <v>AM Server</v>
      </c>
      <c r="C14" s="141">
        <f>D14*12</f>
        <v>165544.56</v>
      </c>
      <c r="D14" s="142">
        <f t="shared" ref="D14:D15" si="3">E14*4.33</f>
        <v>13795.380000000001</v>
      </c>
      <c r="E14" s="142">
        <f t="shared" si="0"/>
        <v>3186</v>
      </c>
      <c r="F14" s="142">
        <f t="shared" si="1"/>
        <v>455.14285714285717</v>
      </c>
      <c r="G14" s="145">
        <v>6</v>
      </c>
      <c r="H14" s="312">
        <f>'Hourly Customer'!V7</f>
        <v>6.3214285714285712</v>
      </c>
      <c r="I14" s="146">
        <v>12</v>
      </c>
    </row>
    <row r="15" spans="1:9" x14ac:dyDescent="0.15">
      <c r="A15" s="364"/>
      <c r="B15" s="329" t="str">
        <f>'Hourly Customer'!M8</f>
        <v>PM Server</v>
      </c>
      <c r="C15" s="141">
        <f t="shared" si="2"/>
        <v>165544.56</v>
      </c>
      <c r="D15" s="142">
        <f t="shared" si="3"/>
        <v>13795.380000000001</v>
      </c>
      <c r="E15" s="142">
        <f t="shared" si="0"/>
        <v>3186</v>
      </c>
      <c r="F15" s="142">
        <f t="shared" si="1"/>
        <v>455.14285714285717</v>
      </c>
      <c r="G15" s="145">
        <v>6</v>
      </c>
      <c r="H15" s="312">
        <f>'Hourly Customer'!V8</f>
        <v>6.3214285714285712</v>
      </c>
      <c r="I15" s="146">
        <v>12</v>
      </c>
    </row>
    <row r="16" spans="1:9" ht="14" customHeight="1" x14ac:dyDescent="0.15">
      <c r="A16" s="365" t="s">
        <v>128</v>
      </c>
      <c r="B16" s="329" t="str">
        <f>'Hourly Customer'!M5</f>
        <v>AM Cook</v>
      </c>
      <c r="C16" s="141">
        <f>D16*12</f>
        <v>171675.84</v>
      </c>
      <c r="D16" s="142">
        <f>E16*4.33</f>
        <v>14306.32</v>
      </c>
      <c r="E16" s="142">
        <f>F16*7</f>
        <v>3304</v>
      </c>
      <c r="F16" s="142">
        <f t="shared" si="1"/>
        <v>472</v>
      </c>
      <c r="G16" s="145">
        <v>6</v>
      </c>
      <c r="H16" s="312">
        <f>'Hourly Customer'!V5</f>
        <v>5.6190476190476195</v>
      </c>
      <c r="I16" s="146">
        <v>14</v>
      </c>
    </row>
    <row r="17" spans="1:13" ht="17" customHeight="1" x14ac:dyDescent="0.15">
      <c r="A17" s="363"/>
      <c r="B17" s="329" t="str">
        <f>'Hourly Customer'!M6</f>
        <v>PM Cook</v>
      </c>
      <c r="C17" s="141">
        <f>D17*12</f>
        <v>171675.84</v>
      </c>
      <c r="D17" s="142">
        <f>E17*4.33</f>
        <v>14306.32</v>
      </c>
      <c r="E17" s="142">
        <f>F17*7</f>
        <v>3304</v>
      </c>
      <c r="F17" s="142">
        <f t="shared" si="1"/>
        <v>472</v>
      </c>
      <c r="G17" s="145">
        <v>6</v>
      </c>
      <c r="H17" s="312">
        <f>'Hourly Customer'!V6</f>
        <v>5.6190476190476195</v>
      </c>
      <c r="I17" s="146">
        <v>14</v>
      </c>
    </row>
    <row r="18" spans="1:13" ht="15" x14ac:dyDescent="0.2">
      <c r="A18"/>
      <c r="B18" s="147" t="s">
        <v>131</v>
      </c>
      <c r="C18" s="148">
        <f>SUM(C12:C17)</f>
        <v>861209.02153846144</v>
      </c>
      <c r="D18" s="149">
        <f>SUM(D12:D17)</f>
        <v>71767.418461538458</v>
      </c>
      <c r="E18" s="149">
        <f>SUM(E12:E17)</f>
        <v>16574.461538461539</v>
      </c>
      <c r="F18" s="149">
        <f>SUM(F12:F17)</f>
        <v>2367.7802197802198</v>
      </c>
      <c r="G18" s="150"/>
      <c r="H18" s="150"/>
      <c r="I18" s="151"/>
    </row>
    <row r="19" spans="1:13" x14ac:dyDescent="0.15">
      <c r="B19" s="152" t="s">
        <v>132</v>
      </c>
      <c r="C19" s="153">
        <f>C10+C18</f>
        <v>966209.02153846144</v>
      </c>
      <c r="D19" s="153">
        <f>D10+D18</f>
        <v>80517.418461538458</v>
      </c>
      <c r="E19" s="153">
        <f>E10+E18</f>
        <v>18593.692307692309</v>
      </c>
      <c r="F19" s="153">
        <f>F10+F18</f>
        <v>2655.4514526569319</v>
      </c>
      <c r="G19" s="154"/>
      <c r="H19" s="154"/>
      <c r="I19" s="155"/>
    </row>
    <row r="23" spans="1:13" ht="15" customHeight="1" x14ac:dyDescent="0.15">
      <c r="B23" s="362"/>
      <c r="C23" s="362"/>
      <c r="D23" s="362"/>
      <c r="E23" s="362"/>
      <c r="F23" s="362"/>
      <c r="G23" s="362"/>
      <c r="H23" s="362"/>
      <c r="I23" s="362"/>
      <c r="J23" s="362"/>
      <c r="K23" s="362"/>
      <c r="L23" s="362"/>
      <c r="M23" s="362"/>
    </row>
  </sheetData>
  <mergeCells count="7">
    <mergeCell ref="F23:I23"/>
    <mergeCell ref="J23:M23"/>
    <mergeCell ref="A3:A6"/>
    <mergeCell ref="A7:A9"/>
    <mergeCell ref="A12:A15"/>
    <mergeCell ref="A16:A17"/>
    <mergeCell ref="B23:E23"/>
  </mergeCells>
  <pageMargins left="0.7" right="0.7" top="0.75" bottom="0.75" header="0.3" footer="0.3"/>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55"/>
  <sheetViews>
    <sheetView zoomScaleNormal="150" zoomScalePageLayoutView="130" workbookViewId="0">
      <selection activeCell="B1" sqref="B1:I1"/>
    </sheetView>
  </sheetViews>
  <sheetFormatPr baseColWidth="10" defaultColWidth="8.83203125" defaultRowHeight="14" x14ac:dyDescent="0.15"/>
  <cols>
    <col min="1" max="1" width="8.83203125" style="25"/>
    <col min="2" max="2" width="55.5" style="25" bestFit="1" customWidth="1"/>
    <col min="3" max="3" width="12.5" style="60" bestFit="1" customWidth="1"/>
    <col min="4" max="4" width="14.5" style="25" bestFit="1" customWidth="1"/>
    <col min="5" max="5" width="8.83203125" style="25"/>
    <col min="6" max="6" width="14.5" style="25" bestFit="1" customWidth="1"/>
    <col min="7" max="10" width="15.33203125" style="25" bestFit="1" customWidth="1"/>
    <col min="11" max="12" width="14.5" style="25" bestFit="1" customWidth="1"/>
    <col min="13" max="16384" width="8.83203125" style="25"/>
  </cols>
  <sheetData>
    <row r="1" spans="2:11" x14ac:dyDescent="0.15">
      <c r="B1" s="405"/>
      <c r="C1" s="406"/>
      <c r="D1" s="407"/>
      <c r="E1" s="407"/>
      <c r="F1" s="407"/>
      <c r="G1" s="407"/>
      <c r="H1" s="407"/>
      <c r="I1" s="407"/>
    </row>
    <row r="2" spans="2:11" ht="15" thickBot="1" x14ac:dyDescent="0.2"/>
    <row r="3" spans="2:11" x14ac:dyDescent="0.15">
      <c r="B3" s="156" t="s">
        <v>133</v>
      </c>
      <c r="C3" s="157"/>
      <c r="D3" s="158"/>
    </row>
    <row r="4" spans="2:11" x14ac:dyDescent="0.15">
      <c r="B4" s="159" t="s">
        <v>134</v>
      </c>
      <c r="C4" s="160">
        <f>D14</f>
        <v>126600</v>
      </c>
      <c r="D4" s="161"/>
    </row>
    <row r="5" spans="2:11" x14ac:dyDescent="0.15">
      <c r="B5" s="159" t="s">
        <v>135</v>
      </c>
      <c r="C5" s="160">
        <f>D36</f>
        <v>92669.989999999991</v>
      </c>
      <c r="D5" s="161"/>
    </row>
    <row r="6" spans="2:11" ht="18" thickBot="1" x14ac:dyDescent="0.35">
      <c r="B6" s="162" t="s">
        <v>136</v>
      </c>
      <c r="C6" s="163">
        <f>D39</f>
        <v>30000</v>
      </c>
      <c r="D6" s="164">
        <f>SUM(C4:C6)</f>
        <v>249269.99</v>
      </c>
    </row>
    <row r="7" spans="2:11" ht="16" thickBot="1" x14ac:dyDescent="0.25">
      <c r="B7"/>
      <c r="C7"/>
      <c r="D7"/>
    </row>
    <row r="8" spans="2:11" x14ac:dyDescent="0.15">
      <c r="B8" s="165" t="s">
        <v>137</v>
      </c>
      <c r="C8" s="166"/>
      <c r="D8" s="167"/>
    </row>
    <row r="9" spans="2:11" x14ac:dyDescent="0.15">
      <c r="B9" s="168" t="s">
        <v>138</v>
      </c>
      <c r="C9" s="169">
        <v>9000</v>
      </c>
      <c r="D9" s="170"/>
      <c r="I9" s="61"/>
    </row>
    <row r="10" spans="2:11" x14ac:dyDescent="0.15">
      <c r="B10" s="168" t="s">
        <v>139</v>
      </c>
      <c r="C10" s="169">
        <v>3000</v>
      </c>
      <c r="D10" s="170"/>
      <c r="K10" s="61"/>
    </row>
    <row r="11" spans="2:11" x14ac:dyDescent="0.15">
      <c r="B11" s="168" t="s">
        <v>140</v>
      </c>
      <c r="C11" s="169">
        <v>4000</v>
      </c>
      <c r="D11" s="170"/>
      <c r="K11" s="61"/>
    </row>
    <row r="12" spans="2:11" x14ac:dyDescent="0.15">
      <c r="B12" s="168" t="s">
        <v>141</v>
      </c>
      <c r="C12" s="169">
        <v>5000</v>
      </c>
      <c r="D12" s="171"/>
    </row>
    <row r="13" spans="2:11" x14ac:dyDescent="0.15">
      <c r="B13" s="168" t="s">
        <v>142</v>
      </c>
      <c r="C13" s="169">
        <v>18000</v>
      </c>
      <c r="D13" s="170"/>
      <c r="I13" s="61"/>
    </row>
    <row r="14" spans="2:11" ht="15" thickBot="1" x14ac:dyDescent="0.2">
      <c r="B14" s="172" t="s">
        <v>143</v>
      </c>
      <c r="C14" s="173">
        <v>87600</v>
      </c>
      <c r="D14" s="174">
        <f>SUM(C9:C14)</f>
        <v>126600</v>
      </c>
      <c r="H14" s="61"/>
    </row>
    <row r="15" spans="2:11" ht="16" thickBot="1" x14ac:dyDescent="0.25">
      <c r="B15"/>
      <c r="C15"/>
      <c r="D15"/>
      <c r="H15" s="61"/>
    </row>
    <row r="16" spans="2:11" x14ac:dyDescent="0.15">
      <c r="B16" s="165" t="s">
        <v>144</v>
      </c>
      <c r="C16" s="166"/>
      <c r="D16" s="167"/>
    </row>
    <row r="17" spans="2:12" x14ac:dyDescent="0.15">
      <c r="B17" s="168" t="s">
        <v>145</v>
      </c>
      <c r="C17" s="169">
        <v>1789</v>
      </c>
      <c r="D17" s="170"/>
      <c r="J17" s="61"/>
    </row>
    <row r="18" spans="2:12" x14ac:dyDescent="0.15">
      <c r="B18" s="168" t="s">
        <v>146</v>
      </c>
      <c r="C18" s="169">
        <v>3130</v>
      </c>
      <c r="D18" s="170"/>
      <c r="K18" s="61"/>
    </row>
    <row r="19" spans="2:12" x14ac:dyDescent="0.15">
      <c r="B19" s="168" t="s">
        <v>147</v>
      </c>
      <c r="C19" s="169">
        <v>455</v>
      </c>
      <c r="D19" s="170"/>
      <c r="J19" s="61"/>
    </row>
    <row r="20" spans="2:12" x14ac:dyDescent="0.15">
      <c r="B20" s="168" t="s">
        <v>148</v>
      </c>
      <c r="C20" s="169">
        <v>4499</v>
      </c>
      <c r="D20" s="170"/>
      <c r="K20" s="61"/>
    </row>
    <row r="21" spans="2:12" x14ac:dyDescent="0.15">
      <c r="B21" s="168" t="s">
        <v>149</v>
      </c>
      <c r="C21" s="169">
        <v>119.99</v>
      </c>
      <c r="D21" s="170"/>
      <c r="L21" s="61"/>
    </row>
    <row r="22" spans="2:12" x14ac:dyDescent="0.15">
      <c r="B22" s="168" t="s">
        <v>150</v>
      </c>
      <c r="C22" s="169">
        <v>4589</v>
      </c>
      <c r="D22" s="170"/>
      <c r="L22" s="61"/>
    </row>
    <row r="23" spans="2:12" x14ac:dyDescent="0.15">
      <c r="B23" s="168" t="s">
        <v>151</v>
      </c>
      <c r="C23" s="169">
        <v>10506</v>
      </c>
      <c r="D23" s="170"/>
      <c r="J23" s="61"/>
    </row>
    <row r="24" spans="2:12" x14ac:dyDescent="0.15">
      <c r="B24" s="168" t="s">
        <v>152</v>
      </c>
      <c r="C24" s="169"/>
      <c r="D24" s="170"/>
      <c r="J24" s="61"/>
    </row>
    <row r="25" spans="2:12" x14ac:dyDescent="0.15">
      <c r="B25" s="175" t="s">
        <v>153</v>
      </c>
      <c r="C25" s="169">
        <v>3398</v>
      </c>
      <c r="D25" s="170"/>
    </row>
    <row r="26" spans="2:12" x14ac:dyDescent="0.15">
      <c r="B26" s="175" t="s">
        <v>154</v>
      </c>
      <c r="C26" s="169">
        <v>13128</v>
      </c>
      <c r="D26" s="170"/>
    </row>
    <row r="27" spans="2:12" x14ac:dyDescent="0.15">
      <c r="B27" s="175" t="s">
        <v>155</v>
      </c>
      <c r="C27" s="169">
        <v>2749</v>
      </c>
      <c r="D27" s="170"/>
    </row>
    <row r="28" spans="2:12" x14ac:dyDescent="0.15">
      <c r="B28" s="175" t="s">
        <v>156</v>
      </c>
      <c r="C28" s="169">
        <v>3398</v>
      </c>
      <c r="D28" s="170"/>
    </row>
    <row r="29" spans="2:12" x14ac:dyDescent="0.15">
      <c r="B29" s="175" t="s">
        <v>157</v>
      </c>
      <c r="C29" s="169">
        <v>959</v>
      </c>
      <c r="D29" s="170"/>
    </row>
    <row r="30" spans="2:12" x14ac:dyDescent="0.15">
      <c r="B30" s="168" t="s">
        <v>158</v>
      </c>
      <c r="C30" s="169">
        <v>6000</v>
      </c>
      <c r="D30" s="170"/>
      <c r="I30" s="61"/>
    </row>
    <row r="31" spans="2:12" x14ac:dyDescent="0.15">
      <c r="B31" s="168" t="s">
        <v>159</v>
      </c>
      <c r="C31" s="169">
        <v>2000</v>
      </c>
      <c r="D31" s="170"/>
      <c r="J31" s="61"/>
    </row>
    <row r="32" spans="2:12" x14ac:dyDescent="0.15">
      <c r="B32" s="168" t="s">
        <v>160</v>
      </c>
      <c r="C32" s="169">
        <v>9000</v>
      </c>
      <c r="D32" s="170"/>
      <c r="J32" s="61"/>
    </row>
    <row r="33" spans="2:12" x14ac:dyDescent="0.15">
      <c r="B33" s="168" t="s">
        <v>161</v>
      </c>
      <c r="C33" s="169">
        <v>3750</v>
      </c>
      <c r="D33" s="170"/>
      <c r="F33" s="61"/>
    </row>
    <row r="34" spans="2:12" x14ac:dyDescent="0.15">
      <c r="B34" s="168" t="s">
        <v>162</v>
      </c>
      <c r="C34" s="169">
        <v>21700</v>
      </c>
      <c r="D34" s="170"/>
      <c r="K34" s="61"/>
    </row>
    <row r="35" spans="2:12" x14ac:dyDescent="0.15">
      <c r="B35" s="168" t="s">
        <v>163</v>
      </c>
      <c r="C35" s="169">
        <v>1000</v>
      </c>
      <c r="D35" s="170"/>
      <c r="L35" s="61"/>
    </row>
    <row r="36" spans="2:12" ht="15" thickBot="1" x14ac:dyDescent="0.2">
      <c r="B36" s="172" t="s">
        <v>164</v>
      </c>
      <c r="C36" s="173">
        <v>500</v>
      </c>
      <c r="D36" s="174">
        <f>SUM(C17:C36)</f>
        <v>92669.989999999991</v>
      </c>
      <c r="L36" s="61"/>
    </row>
    <row r="37" spans="2:12" ht="15" thickBot="1" x14ac:dyDescent="0.2">
      <c r="B37" s="62"/>
      <c r="D37" s="56"/>
      <c r="I37" s="61"/>
    </row>
    <row r="38" spans="2:12" x14ac:dyDescent="0.15">
      <c r="B38" s="165" t="s">
        <v>165</v>
      </c>
      <c r="C38" s="166"/>
      <c r="D38" s="167"/>
    </row>
    <row r="39" spans="2:12" x14ac:dyDescent="0.15">
      <c r="B39" s="176" t="s">
        <v>166</v>
      </c>
      <c r="C39" s="169">
        <v>30000</v>
      </c>
      <c r="D39" s="233">
        <f>SUM(C39:C39)</f>
        <v>30000</v>
      </c>
      <c r="I39" s="61"/>
    </row>
    <row r="40" spans="2:12" x14ac:dyDescent="0.15">
      <c r="B40" s="177"/>
      <c r="C40" s="169"/>
      <c r="D40" s="170"/>
    </row>
    <row r="41" spans="2:12" ht="18" thickBot="1" x14ac:dyDescent="0.35">
      <c r="B41" s="178"/>
      <c r="C41" s="173"/>
      <c r="D41" s="179"/>
    </row>
    <row r="42" spans="2:12" ht="16" thickBot="1" x14ac:dyDescent="0.25">
      <c r="B42"/>
      <c r="C42"/>
      <c r="D42"/>
    </row>
    <row r="43" spans="2:12" ht="15" thickBot="1" x14ac:dyDescent="0.2">
      <c r="B43" s="180" t="s">
        <v>167</v>
      </c>
      <c r="C43" s="181">
        <f>(D6-0)/5</f>
        <v>49853.998</v>
      </c>
    </row>
    <row r="44" spans="2:12" ht="15" thickBot="1" x14ac:dyDescent="0.2"/>
    <row r="45" spans="2:12" x14ac:dyDescent="0.15">
      <c r="B45" s="182" t="s">
        <v>168</v>
      </c>
      <c r="C45" s="183"/>
    </row>
    <row r="46" spans="2:12" x14ac:dyDescent="0.15">
      <c r="B46" s="184" t="s">
        <v>169</v>
      </c>
      <c r="C46" s="185">
        <f>D6</f>
        <v>249269.99</v>
      </c>
    </row>
    <row r="47" spans="2:12" x14ac:dyDescent="0.15">
      <c r="B47" s="184" t="s">
        <v>170</v>
      </c>
      <c r="C47" s="186"/>
    </row>
    <row r="48" spans="2:12" x14ac:dyDescent="0.15">
      <c r="B48" s="187" t="s">
        <v>171</v>
      </c>
      <c r="C48" s="185">
        <f>C46-C50-C54-C51-C52-C53</f>
        <v>174488.99300000007</v>
      </c>
    </row>
    <row r="49" spans="2:4" x14ac:dyDescent="0.15">
      <c r="B49" s="184" t="s">
        <v>172</v>
      </c>
      <c r="C49" s="186"/>
    </row>
    <row r="50" spans="2:4" x14ac:dyDescent="0.15">
      <c r="B50" s="187" t="s">
        <v>173</v>
      </c>
      <c r="C50" s="186">
        <f>$D$50/5</f>
        <v>14956.199399999998</v>
      </c>
      <c r="D50" s="56">
        <f>C46*0.3</f>
        <v>74780.996999999988</v>
      </c>
    </row>
    <row r="51" spans="2:4" x14ac:dyDescent="0.15">
      <c r="B51" s="338" t="s">
        <v>174</v>
      </c>
      <c r="C51" s="186">
        <f t="shared" ref="C51:C54" si="0">$D$50/5</f>
        <v>14956.199399999998</v>
      </c>
      <c r="D51" s="56"/>
    </row>
    <row r="52" spans="2:4" x14ac:dyDescent="0.15">
      <c r="B52" s="338" t="s">
        <v>175</v>
      </c>
      <c r="C52" s="186">
        <f t="shared" si="0"/>
        <v>14956.199399999998</v>
      </c>
      <c r="D52" s="56"/>
    </row>
    <row r="53" spans="2:4" x14ac:dyDescent="0.15">
      <c r="B53" s="338" t="s">
        <v>176</v>
      </c>
      <c r="C53" s="186">
        <f t="shared" si="0"/>
        <v>14956.199399999998</v>
      </c>
      <c r="D53" s="56"/>
    </row>
    <row r="54" spans="2:4" ht="15" thickBot="1" x14ac:dyDescent="0.2">
      <c r="B54" s="188" t="s">
        <v>177</v>
      </c>
      <c r="C54" s="186">
        <f t="shared" si="0"/>
        <v>14956.199399999998</v>
      </c>
    </row>
    <row r="55" spans="2:4" x14ac:dyDescent="0.15">
      <c r="B55" s="337"/>
      <c r="C55" s="169"/>
    </row>
  </sheetData>
  <pageMargins left="0.7" right="0.7" top="0.75" bottom="0.75" header="0.3" footer="0.3"/>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8290-342D-AC4A-81E6-9BAE2DC1EE9C}">
  <dimension ref="A1:G78"/>
  <sheetViews>
    <sheetView topLeftCell="A47" zoomScale="75" workbookViewId="0">
      <selection activeCell="B62" sqref="B62"/>
    </sheetView>
  </sheetViews>
  <sheetFormatPr baseColWidth="10" defaultColWidth="11.5" defaultRowHeight="15" x14ac:dyDescent="0.2"/>
  <cols>
    <col min="1" max="1" width="4.83203125" customWidth="1"/>
    <col min="2" max="2" width="90.5" customWidth="1"/>
    <col min="3" max="3" width="14.6640625" customWidth="1"/>
    <col min="4" max="4" width="15.33203125" customWidth="1"/>
    <col min="5" max="5" width="14.6640625" customWidth="1"/>
    <col min="7" max="7" width="56.5" customWidth="1"/>
  </cols>
  <sheetData>
    <row r="1" spans="1:7" x14ac:dyDescent="0.2">
      <c r="A1" s="25"/>
      <c r="B1" s="366" t="s">
        <v>178</v>
      </c>
      <c r="C1" s="366"/>
      <c r="D1" s="366"/>
      <c r="E1" s="366"/>
      <c r="F1" s="366"/>
      <c r="G1" s="366"/>
    </row>
    <row r="2" spans="1:7" x14ac:dyDescent="0.2">
      <c r="A2" s="25"/>
      <c r="B2" s="25"/>
      <c r="C2" s="87" t="str">
        <f>Summary!C3</f>
        <v>L'amore</v>
      </c>
      <c r="D2" s="189"/>
      <c r="E2" s="169"/>
      <c r="F2" s="25"/>
      <c r="G2" s="25"/>
    </row>
    <row r="3" spans="1:7" x14ac:dyDescent="0.2">
      <c r="A3" s="25"/>
      <c r="B3" s="25"/>
      <c r="C3" s="120" t="s">
        <v>179</v>
      </c>
      <c r="D3" s="65"/>
      <c r="E3" s="65"/>
      <c r="F3" s="65"/>
      <c r="G3" s="25"/>
    </row>
    <row r="4" spans="1:7" ht="16" thickBot="1" x14ac:dyDescent="0.25">
      <c r="A4" s="25"/>
      <c r="B4" s="25"/>
      <c r="C4" s="120" t="s">
        <v>180</v>
      </c>
      <c r="D4" s="65"/>
      <c r="E4" s="65"/>
      <c r="F4" s="65"/>
      <c r="G4" s="190"/>
    </row>
    <row r="5" spans="1:7" ht="16" thickBot="1" x14ac:dyDescent="0.25">
      <c r="A5" s="25"/>
      <c r="B5" s="191"/>
      <c r="C5" s="192"/>
      <c r="D5" s="193" t="s">
        <v>181</v>
      </c>
      <c r="E5" s="194" t="s">
        <v>182</v>
      </c>
      <c r="F5" s="25"/>
      <c r="G5" s="25"/>
    </row>
    <row r="6" spans="1:7" x14ac:dyDescent="0.2">
      <c r="A6" s="25"/>
      <c r="B6" s="195" t="s">
        <v>183</v>
      </c>
      <c r="C6" s="25"/>
      <c r="D6" s="196">
        <f>'Hourly Customer'!J22*52</f>
        <v>2015676</v>
      </c>
      <c r="E6" s="197">
        <v>1</v>
      </c>
      <c r="F6" s="25"/>
      <c r="G6" s="25"/>
    </row>
    <row r="7" spans="1:7" x14ac:dyDescent="0.2">
      <c r="A7" s="25"/>
      <c r="B7" s="195"/>
      <c r="C7" s="25"/>
      <c r="D7" s="198"/>
      <c r="E7" s="199"/>
      <c r="F7" s="25"/>
      <c r="G7" s="25"/>
    </row>
    <row r="8" spans="1:7" x14ac:dyDescent="0.2">
      <c r="A8" s="25"/>
      <c r="B8" s="195" t="s">
        <v>184</v>
      </c>
      <c r="C8" s="25"/>
      <c r="D8" s="200">
        <f>'Hourly Customer'!J23*52</f>
        <v>695592.3</v>
      </c>
      <c r="E8" s="201">
        <f>IFERROR(D8/$D$6,0)</f>
        <v>0.34509132420091326</v>
      </c>
      <c r="F8" s="25"/>
      <c r="G8" s="25"/>
    </row>
    <row r="9" spans="1:7" x14ac:dyDescent="0.2">
      <c r="A9" s="25"/>
      <c r="B9" s="195"/>
      <c r="C9" s="25"/>
      <c r="D9" s="198"/>
      <c r="E9" s="202"/>
      <c r="F9" s="25"/>
      <c r="G9" s="25"/>
    </row>
    <row r="10" spans="1:7" x14ac:dyDescent="0.2">
      <c r="A10" s="25"/>
      <c r="B10" s="203" t="s">
        <v>185</v>
      </c>
      <c r="C10" s="169"/>
      <c r="D10" s="189"/>
      <c r="E10" s="202"/>
      <c r="F10" s="25"/>
      <c r="G10" s="25"/>
    </row>
    <row r="11" spans="1:7" x14ac:dyDescent="0.2">
      <c r="A11" s="25"/>
      <c r="B11" s="204" t="s">
        <v>9</v>
      </c>
      <c r="C11" s="205">
        <f>Salaries!C10</f>
        <v>105000</v>
      </c>
      <c r="D11" s="189"/>
      <c r="E11" s="201">
        <f>IFERROR(C11/$D$6,0)</f>
        <v>5.2091705214528522E-2</v>
      </c>
      <c r="F11" s="25"/>
      <c r="G11" s="25"/>
    </row>
    <row r="12" spans="1:7" x14ac:dyDescent="0.2">
      <c r="A12" s="25"/>
      <c r="B12" s="204" t="s">
        <v>186</v>
      </c>
      <c r="C12" s="205">
        <f>Salaries!C18</f>
        <v>861209.02153846144</v>
      </c>
      <c r="D12" s="189"/>
      <c r="E12" s="201">
        <f t="shared" ref="E12:E14" si="0">IFERROR(C12/$D$6,0)</f>
        <v>0.42725568074356268</v>
      </c>
      <c r="F12" s="25"/>
      <c r="G12" s="25"/>
    </row>
    <row r="13" spans="1:7" x14ac:dyDescent="0.2">
      <c r="A13" s="25"/>
      <c r="B13" s="204" t="s">
        <v>187</v>
      </c>
      <c r="C13" s="205">
        <f>(C11+C12)*0.0765</f>
        <v>73914.990147692297</v>
      </c>
      <c r="D13" s="189"/>
      <c r="E13" s="201">
        <f t="shared" si="0"/>
        <v>3.6670075025793974E-2</v>
      </c>
      <c r="F13" s="25"/>
      <c r="G13" s="25"/>
    </row>
    <row r="14" spans="1:7" x14ac:dyDescent="0.2">
      <c r="A14" s="25"/>
      <c r="B14" s="204" t="s">
        <v>188</v>
      </c>
      <c r="C14" s="205">
        <f>(C11+C12)*0.027</f>
        <v>26087.643581538458</v>
      </c>
      <c r="D14" s="189"/>
      <c r="E14" s="201">
        <f t="shared" si="0"/>
        <v>1.2942379420868462E-2</v>
      </c>
      <c r="F14" s="25"/>
      <c r="G14" s="25"/>
    </row>
    <row r="15" spans="1:7" ht="17" x14ac:dyDescent="0.3">
      <c r="A15" s="25"/>
      <c r="B15" s="206" t="s">
        <v>189</v>
      </c>
      <c r="C15" s="25"/>
      <c r="D15" s="207">
        <f>SUM(C11:C14)</f>
        <v>1066211.6552676922</v>
      </c>
      <c r="E15" s="201">
        <f t="shared" ref="E15:E71" si="1">IFERROR(D15/$D$6,0)</f>
        <v>0.52895984040475363</v>
      </c>
      <c r="F15" s="25"/>
      <c r="G15" s="25"/>
    </row>
    <row r="16" spans="1:7" ht="17" x14ac:dyDescent="0.3">
      <c r="A16" s="25"/>
      <c r="B16" s="206"/>
      <c r="C16" s="25"/>
      <c r="D16" s="208"/>
      <c r="E16" s="202"/>
      <c r="F16" s="25"/>
      <c r="G16" s="25"/>
    </row>
    <row r="17" spans="1:7" x14ac:dyDescent="0.2">
      <c r="A17" s="25"/>
      <c r="B17" s="209" t="s">
        <v>190</v>
      </c>
      <c r="C17" s="67"/>
      <c r="D17" s="210">
        <f>D8+D15</f>
        <v>1761803.9552676922</v>
      </c>
      <c r="E17" s="211">
        <f t="shared" si="1"/>
        <v>0.8740511646056669</v>
      </c>
      <c r="F17" s="25"/>
      <c r="G17" s="25"/>
    </row>
    <row r="18" spans="1:7" x14ac:dyDescent="0.2">
      <c r="A18" s="25"/>
      <c r="B18" s="212"/>
      <c r="C18" s="25"/>
      <c r="D18" s="213"/>
      <c r="E18" s="202"/>
      <c r="F18" s="25"/>
      <c r="G18" s="25"/>
    </row>
    <row r="19" spans="1:7" x14ac:dyDescent="0.2">
      <c r="A19" s="25"/>
      <c r="B19" s="212" t="s">
        <v>191</v>
      </c>
      <c r="D19" s="189"/>
      <c r="E19" s="202"/>
      <c r="F19" s="25"/>
      <c r="G19" s="25"/>
    </row>
    <row r="20" spans="1:7" x14ac:dyDescent="0.2">
      <c r="A20" s="25"/>
      <c r="B20" s="214" t="s">
        <v>192</v>
      </c>
      <c r="C20" s="25"/>
      <c r="D20" s="189"/>
      <c r="E20" s="215"/>
      <c r="F20" s="64"/>
      <c r="G20" s="25"/>
    </row>
    <row r="21" spans="1:7" x14ac:dyDescent="0.2">
      <c r="A21" s="25"/>
      <c r="B21" s="216" t="s">
        <v>193</v>
      </c>
      <c r="C21" s="160">
        <f>D6*0.01</f>
        <v>20156.760000000002</v>
      </c>
      <c r="D21" s="189"/>
      <c r="E21" s="201">
        <f>IFERROR(C21/$D$6,0)</f>
        <v>0.01</v>
      </c>
      <c r="F21" s="25"/>
      <c r="G21" s="25"/>
    </row>
    <row r="22" spans="1:7" x14ac:dyDescent="0.2">
      <c r="A22" s="25"/>
      <c r="B22" s="216" t="s">
        <v>194</v>
      </c>
      <c r="C22" s="169">
        <v>7500</v>
      </c>
      <c r="D22" s="189"/>
      <c r="E22" s="201">
        <f t="shared" ref="E22:E29" si="2">IFERROR(C22/$D$6,0)</f>
        <v>3.7208360867520373E-3</v>
      </c>
      <c r="F22" s="25"/>
      <c r="G22" s="25"/>
    </row>
    <row r="23" spans="1:7" x14ac:dyDescent="0.2">
      <c r="A23" s="25"/>
      <c r="B23" s="216" t="s">
        <v>195</v>
      </c>
      <c r="C23" s="169">
        <v>4000</v>
      </c>
      <c r="D23" s="189"/>
      <c r="E23" s="201">
        <f t="shared" si="2"/>
        <v>1.9844459129344199E-3</v>
      </c>
      <c r="F23" s="25"/>
      <c r="G23" s="25"/>
    </row>
    <row r="24" spans="1:7" x14ac:dyDescent="0.2">
      <c r="A24" s="25"/>
      <c r="B24" s="216" t="s">
        <v>196</v>
      </c>
      <c r="C24" s="169">
        <v>15000</v>
      </c>
      <c r="D24" s="189"/>
      <c r="E24" s="201">
        <f t="shared" si="2"/>
        <v>7.4416721735040747E-3</v>
      </c>
      <c r="F24" s="25"/>
      <c r="G24" s="25"/>
    </row>
    <row r="25" spans="1:7" x14ac:dyDescent="0.2">
      <c r="A25" s="25"/>
      <c r="B25" s="216" t="s">
        <v>197</v>
      </c>
      <c r="C25" s="169">
        <v>9000</v>
      </c>
      <c r="D25" s="189"/>
      <c r="E25" s="201">
        <f t="shared" si="2"/>
        <v>4.465003304102445E-3</v>
      </c>
      <c r="F25" s="25"/>
      <c r="G25" s="25"/>
    </row>
    <row r="26" spans="1:7" x14ac:dyDescent="0.2">
      <c r="A26" s="25"/>
      <c r="B26" s="216" t="s">
        <v>198</v>
      </c>
      <c r="C26" s="169">
        <v>8700</v>
      </c>
      <c r="D26" s="189"/>
      <c r="E26" s="201">
        <f t="shared" si="2"/>
        <v>4.3161698606323639E-3</v>
      </c>
      <c r="F26" s="25"/>
      <c r="G26" s="25"/>
    </row>
    <row r="27" spans="1:7" x14ac:dyDescent="0.2">
      <c r="A27" s="25"/>
      <c r="B27" s="216" t="s">
        <v>199</v>
      </c>
      <c r="C27" s="169">
        <v>2500</v>
      </c>
      <c r="D27" s="189"/>
      <c r="E27" s="201">
        <f t="shared" si="2"/>
        <v>1.2402786955840125E-3</v>
      </c>
      <c r="F27" s="25"/>
      <c r="G27" s="25"/>
    </row>
    <row r="28" spans="1:7" ht="17" x14ac:dyDescent="0.3">
      <c r="A28" s="25"/>
      <c r="B28" s="216" t="s">
        <v>200</v>
      </c>
      <c r="C28" s="217">
        <v>2200</v>
      </c>
      <c r="D28" s="189"/>
      <c r="E28" s="201">
        <f t="shared" si="2"/>
        <v>1.091445252113931E-3</v>
      </c>
      <c r="F28" s="25"/>
      <c r="G28" s="25"/>
    </row>
    <row r="29" spans="1:7" x14ac:dyDescent="0.2">
      <c r="A29" s="25"/>
      <c r="B29" s="218" t="s">
        <v>201</v>
      </c>
      <c r="C29" s="200">
        <f>SUM(C21:C28)</f>
        <v>69056.760000000009</v>
      </c>
      <c r="D29" s="25"/>
      <c r="E29" s="201">
        <f t="shared" si="2"/>
        <v>3.425985128562329E-2</v>
      </c>
      <c r="F29" s="25"/>
      <c r="G29" s="25"/>
    </row>
    <row r="30" spans="1:7" x14ac:dyDescent="0.2">
      <c r="A30" s="25"/>
      <c r="B30" s="218"/>
      <c r="C30" s="219"/>
      <c r="D30" s="25"/>
      <c r="E30" s="202"/>
      <c r="F30" s="25"/>
      <c r="G30" s="25"/>
    </row>
    <row r="31" spans="1:7" x14ac:dyDescent="0.2">
      <c r="A31" s="25"/>
      <c r="B31" s="214" t="s">
        <v>202</v>
      </c>
      <c r="C31" s="25"/>
      <c r="D31" s="189"/>
      <c r="E31" s="215"/>
      <c r="F31" s="25"/>
      <c r="G31" s="25"/>
    </row>
    <row r="32" spans="1:7" x14ac:dyDescent="0.2">
      <c r="A32" s="25"/>
      <c r="B32" s="216" t="s">
        <v>203</v>
      </c>
      <c r="C32" s="169">
        <v>9500</v>
      </c>
      <c r="D32" s="189"/>
      <c r="E32" s="201">
        <f>IFERROR(C32/$D$6,0)</f>
        <v>4.713059043219248E-3</v>
      </c>
      <c r="F32" s="64"/>
      <c r="G32" s="25"/>
    </row>
    <row r="33" spans="1:7" x14ac:dyDescent="0.2">
      <c r="A33" s="25"/>
      <c r="B33" s="216" t="s">
        <v>204</v>
      </c>
      <c r="C33" s="220">
        <v>6000</v>
      </c>
      <c r="D33" s="189"/>
      <c r="E33" s="201">
        <f t="shared" ref="E33:E34" si="3">IFERROR(C33/$D$6,0)</f>
        <v>2.9766688694016301E-3</v>
      </c>
      <c r="F33" s="25"/>
      <c r="G33" s="25"/>
    </row>
    <row r="34" spans="1:7" x14ac:dyDescent="0.2">
      <c r="A34" s="25"/>
      <c r="B34" s="218" t="s">
        <v>205</v>
      </c>
      <c r="C34" s="200">
        <f>SUM(C32:C33)</f>
        <v>15500</v>
      </c>
      <c r="D34" s="25"/>
      <c r="E34" s="201">
        <f t="shared" si="3"/>
        <v>7.6897279126208777E-3</v>
      </c>
      <c r="F34" s="25"/>
      <c r="G34" s="25"/>
    </row>
    <row r="35" spans="1:7" x14ac:dyDescent="0.2">
      <c r="A35" s="25"/>
      <c r="B35" s="218"/>
      <c r="C35" s="219"/>
      <c r="D35" s="25"/>
      <c r="E35" s="202"/>
      <c r="F35" s="25"/>
      <c r="G35" s="25"/>
    </row>
    <row r="36" spans="1:7" x14ac:dyDescent="0.2">
      <c r="A36" s="25"/>
      <c r="B36" s="214" t="s">
        <v>206</v>
      </c>
      <c r="C36" s="25"/>
      <c r="D36" s="189"/>
      <c r="E36" s="215"/>
      <c r="F36" s="25"/>
      <c r="G36" s="25"/>
    </row>
    <row r="37" spans="1:7" x14ac:dyDescent="0.2">
      <c r="A37" s="25"/>
      <c r="B37" s="216" t="s">
        <v>207</v>
      </c>
      <c r="C37" s="169">
        <v>10000</v>
      </c>
      <c r="D37" s="189"/>
      <c r="E37" s="201">
        <f>IFERROR(C37/$D$6,0)</f>
        <v>4.9611147823360501E-3</v>
      </c>
      <c r="F37" s="64"/>
      <c r="G37" s="25"/>
    </row>
    <row r="38" spans="1:7" x14ac:dyDescent="0.2">
      <c r="A38" s="25"/>
      <c r="B38" s="216" t="s">
        <v>208</v>
      </c>
      <c r="C38" s="169">
        <v>24000</v>
      </c>
      <c r="D38" s="189"/>
      <c r="E38" s="201">
        <f t="shared" ref="E38:E56" si="4">IFERROR(C38/$D$6,0)</f>
        <v>1.1906675477606521E-2</v>
      </c>
      <c r="F38" s="25"/>
      <c r="G38" s="25"/>
    </row>
    <row r="39" spans="1:7" x14ac:dyDescent="0.2">
      <c r="A39" s="25"/>
      <c r="B39" s="216" t="s">
        <v>209</v>
      </c>
      <c r="C39" s="220">
        <v>9000</v>
      </c>
      <c r="D39" s="189"/>
      <c r="E39" s="201">
        <f t="shared" si="4"/>
        <v>4.465003304102445E-3</v>
      </c>
      <c r="F39" s="25"/>
      <c r="G39" s="25"/>
    </row>
    <row r="40" spans="1:7" x14ac:dyDescent="0.2">
      <c r="A40" s="25"/>
      <c r="B40" s="206" t="s">
        <v>210</v>
      </c>
      <c r="C40" s="200">
        <f>SUM(C37:C39)</f>
        <v>43000</v>
      </c>
      <c r="D40" s="25"/>
      <c r="E40" s="201">
        <f t="shared" si="4"/>
        <v>2.1332793564045015E-2</v>
      </c>
      <c r="F40" s="25"/>
      <c r="G40" s="25"/>
    </row>
    <row r="41" spans="1:7" x14ac:dyDescent="0.2">
      <c r="A41" s="25"/>
      <c r="B41" s="206"/>
      <c r="C41" s="219"/>
      <c r="D41" s="25"/>
      <c r="E41" s="202"/>
      <c r="F41" s="25"/>
      <c r="G41" s="25"/>
    </row>
    <row r="42" spans="1:7" x14ac:dyDescent="0.2">
      <c r="A42" s="25"/>
      <c r="B42" s="214" t="s">
        <v>211</v>
      </c>
      <c r="C42" s="25"/>
      <c r="D42" s="189"/>
      <c r="E42" s="215"/>
      <c r="F42" s="25"/>
      <c r="G42" s="25"/>
    </row>
    <row r="43" spans="1:7" x14ac:dyDescent="0.2">
      <c r="A43" s="25"/>
      <c r="B43" s="216" t="s">
        <v>212</v>
      </c>
      <c r="C43" s="160">
        <f>(D6*0.9)*0.02</f>
        <v>36282.168000000005</v>
      </c>
      <c r="D43" s="189"/>
      <c r="E43" s="201">
        <f t="shared" si="4"/>
        <v>1.8000000000000002E-2</v>
      </c>
      <c r="F43" s="64"/>
      <c r="G43" s="25"/>
    </row>
    <row r="44" spans="1:7" x14ac:dyDescent="0.2">
      <c r="A44" s="25"/>
      <c r="B44" s="216" t="s">
        <v>213</v>
      </c>
      <c r="C44" s="169">
        <v>1700</v>
      </c>
      <c r="D44" s="189"/>
      <c r="E44" s="201">
        <f t="shared" si="4"/>
        <v>8.4338951299712855E-4</v>
      </c>
      <c r="F44" s="25"/>
      <c r="G44" s="25"/>
    </row>
    <row r="45" spans="1:7" x14ac:dyDescent="0.2">
      <c r="A45" s="25"/>
      <c r="B45" s="216" t="s">
        <v>214</v>
      </c>
      <c r="C45" s="169">
        <v>1300</v>
      </c>
      <c r="D45" s="189"/>
      <c r="E45" s="201">
        <f t="shared" si="4"/>
        <v>6.4494492170368652E-4</v>
      </c>
      <c r="F45" s="25"/>
      <c r="G45" s="25"/>
    </row>
    <row r="46" spans="1:7" ht="17" x14ac:dyDescent="0.3">
      <c r="A46" s="25"/>
      <c r="B46" s="216" t="s">
        <v>215</v>
      </c>
      <c r="C46" s="217">
        <v>15000</v>
      </c>
      <c r="D46" s="189"/>
      <c r="E46" s="201">
        <f t="shared" si="4"/>
        <v>7.4416721735040747E-3</v>
      </c>
      <c r="F46" s="25"/>
      <c r="G46" s="25"/>
    </row>
    <row r="47" spans="1:7" x14ac:dyDescent="0.2">
      <c r="A47" s="25"/>
      <c r="B47" s="218" t="s">
        <v>216</v>
      </c>
      <c r="C47" s="200">
        <f>SUM(C43:C46)</f>
        <v>54282.168000000005</v>
      </c>
      <c r="D47" s="25"/>
      <c r="E47" s="201">
        <f t="shared" si="4"/>
        <v>2.6930006608204892E-2</v>
      </c>
      <c r="F47" s="25"/>
      <c r="G47" s="25"/>
    </row>
    <row r="48" spans="1:7" x14ac:dyDescent="0.2">
      <c r="A48" s="25"/>
      <c r="B48" s="218"/>
      <c r="C48" s="219"/>
      <c r="D48" s="25"/>
      <c r="E48" s="202"/>
      <c r="F48" s="25"/>
      <c r="G48" s="25"/>
    </row>
    <row r="49" spans="1:7" x14ac:dyDescent="0.2">
      <c r="A49" s="25"/>
      <c r="B49" s="214" t="s">
        <v>217</v>
      </c>
      <c r="C49" s="25"/>
      <c r="D49" s="189"/>
      <c r="E49" s="221"/>
      <c r="F49" s="25"/>
      <c r="G49" s="25"/>
    </row>
    <row r="50" spans="1:7" x14ac:dyDescent="0.2">
      <c r="A50" s="25"/>
      <c r="B50" s="216" t="s">
        <v>218</v>
      </c>
      <c r="C50" s="169">
        <v>5000</v>
      </c>
      <c r="D50" s="189"/>
      <c r="E50" s="201">
        <f t="shared" si="4"/>
        <v>2.480557391168025E-3</v>
      </c>
      <c r="F50" s="25"/>
      <c r="G50" s="25"/>
    </row>
    <row r="51" spans="1:7" x14ac:dyDescent="0.2">
      <c r="A51" s="25"/>
      <c r="B51" s="216" t="s">
        <v>219</v>
      </c>
      <c r="C51" s="169">
        <v>3900</v>
      </c>
      <c r="D51" s="189"/>
      <c r="E51" s="201">
        <f t="shared" si="4"/>
        <v>1.9348347651110594E-3</v>
      </c>
      <c r="F51" s="25"/>
      <c r="G51" s="25"/>
    </row>
    <row r="52" spans="1:7" x14ac:dyDescent="0.2">
      <c r="A52" s="25"/>
      <c r="B52" s="216" t="s">
        <v>220</v>
      </c>
      <c r="C52" s="169">
        <v>4500</v>
      </c>
      <c r="D52" s="189"/>
      <c r="E52" s="201">
        <f t="shared" si="4"/>
        <v>2.2325016520512225E-3</v>
      </c>
      <c r="F52" s="25"/>
      <c r="G52" s="25"/>
    </row>
    <row r="53" spans="1:7" x14ac:dyDescent="0.2">
      <c r="A53" s="25"/>
      <c r="B53" s="216" t="s">
        <v>221</v>
      </c>
      <c r="C53" s="169">
        <v>6000</v>
      </c>
      <c r="D53" s="189"/>
      <c r="E53" s="201">
        <f t="shared" si="4"/>
        <v>2.9766688694016301E-3</v>
      </c>
      <c r="F53" s="25"/>
      <c r="G53" s="25"/>
    </row>
    <row r="54" spans="1:7" x14ac:dyDescent="0.2">
      <c r="A54" s="25"/>
      <c r="B54" s="216" t="s">
        <v>222</v>
      </c>
      <c r="C54" s="169">
        <v>4000</v>
      </c>
      <c r="D54" s="189"/>
      <c r="E54" s="201">
        <f t="shared" si="4"/>
        <v>1.9844459129344199E-3</v>
      </c>
      <c r="F54" s="25"/>
      <c r="G54" s="25"/>
    </row>
    <row r="55" spans="1:7" x14ac:dyDescent="0.2">
      <c r="A55" s="25"/>
      <c r="B55" s="216" t="s">
        <v>223</v>
      </c>
      <c r="C55" s="169">
        <v>5600</v>
      </c>
      <c r="D55" s="189"/>
      <c r="E55" s="201">
        <f t="shared" si="4"/>
        <v>2.7782242781081881E-3</v>
      </c>
      <c r="F55" s="25"/>
      <c r="G55" s="25"/>
    </row>
    <row r="56" spans="1:7" x14ac:dyDescent="0.2">
      <c r="A56" s="25"/>
      <c r="B56" s="222" t="s">
        <v>224</v>
      </c>
      <c r="C56" s="200">
        <f>SUM(C50:C55)</f>
        <v>29000</v>
      </c>
      <c r="D56" s="25"/>
      <c r="E56" s="201">
        <f t="shared" si="4"/>
        <v>1.4387232868774545E-2</v>
      </c>
      <c r="F56" s="25"/>
      <c r="G56" s="25"/>
    </row>
    <row r="57" spans="1:7" ht="17" x14ac:dyDescent="0.3">
      <c r="A57" s="25"/>
      <c r="B57" s="223" t="s">
        <v>225</v>
      </c>
      <c r="C57" s="25"/>
      <c r="D57" s="207">
        <f>C29+C34+C40+C47+C56</f>
        <v>210838.92800000001</v>
      </c>
      <c r="E57" s="201">
        <f>IFERROR(D57/$D$6,0)</f>
        <v>0.10459961223926861</v>
      </c>
      <c r="F57" s="25"/>
      <c r="G57" s="25"/>
    </row>
    <row r="58" spans="1:7" ht="17" x14ac:dyDescent="0.3">
      <c r="A58" s="25"/>
      <c r="B58" s="223"/>
      <c r="C58" s="25"/>
      <c r="D58" s="224"/>
      <c r="E58" s="202"/>
      <c r="F58" s="25"/>
      <c r="G58" s="25"/>
    </row>
    <row r="59" spans="1:7" x14ac:dyDescent="0.2">
      <c r="A59" s="25"/>
      <c r="B59" s="225" t="s">
        <v>226</v>
      </c>
      <c r="C59" s="25"/>
      <c r="D59" s="200">
        <f>D6-D17-D57</f>
        <v>43033.116732307768</v>
      </c>
      <c r="E59" s="201">
        <f>IFERROR(D59/$D$6,0)</f>
        <v>2.134922315506449E-2</v>
      </c>
      <c r="F59" s="25"/>
      <c r="G59" s="25"/>
    </row>
    <row r="60" spans="1:7" x14ac:dyDescent="0.2">
      <c r="A60" s="25"/>
      <c r="B60" s="225"/>
      <c r="C60" s="25"/>
      <c r="D60" s="219"/>
      <c r="E60" s="202"/>
      <c r="F60" s="25"/>
      <c r="G60" s="25"/>
    </row>
    <row r="61" spans="1:7" x14ac:dyDescent="0.2">
      <c r="A61" s="25"/>
      <c r="B61" s="225" t="s">
        <v>227</v>
      </c>
      <c r="C61" s="25"/>
      <c r="D61" s="219"/>
      <c r="E61" s="202"/>
      <c r="F61" s="25"/>
      <c r="G61" s="25"/>
    </row>
    <row r="62" spans="1:7" x14ac:dyDescent="0.2">
      <c r="A62" s="25"/>
      <c r="B62" s="216" t="s">
        <v>228</v>
      </c>
      <c r="C62" s="226">
        <f>Preopening!C13</f>
        <v>18000</v>
      </c>
      <c r="D62" s="189"/>
      <c r="E62" s="201">
        <f>IFERROR(C62/$D$6,0)</f>
        <v>8.93000660820489E-3</v>
      </c>
      <c r="F62" s="25"/>
      <c r="G62" s="25"/>
    </row>
    <row r="63" spans="1:7" x14ac:dyDescent="0.2">
      <c r="A63" s="25"/>
      <c r="B63" s="216" t="s">
        <v>229</v>
      </c>
      <c r="C63" s="226">
        <f>Preopening!C43</f>
        <v>49853.998</v>
      </c>
      <c r="D63" s="189"/>
      <c r="E63" s="201">
        <f t="shared" ref="E63:E64" si="5">IFERROR(C63/$D$6,0)</f>
        <v>2.4733140643635187E-2</v>
      </c>
      <c r="F63" s="25"/>
      <c r="G63" s="25"/>
    </row>
    <row r="64" spans="1:7" ht="17" x14ac:dyDescent="0.3">
      <c r="A64" s="25"/>
      <c r="B64" s="216" t="s">
        <v>230</v>
      </c>
      <c r="C64" s="227">
        <v>0</v>
      </c>
      <c r="D64" s="189"/>
      <c r="E64" s="201">
        <f t="shared" si="5"/>
        <v>0</v>
      </c>
      <c r="F64" s="25"/>
      <c r="G64" s="25"/>
    </row>
    <row r="65" spans="1:7" x14ac:dyDescent="0.2">
      <c r="A65" s="25"/>
      <c r="B65" s="223" t="s">
        <v>231</v>
      </c>
      <c r="C65" s="25"/>
      <c r="D65" s="200">
        <f>SUM(C62:C64)</f>
        <v>67853.997999999992</v>
      </c>
      <c r="E65" s="201">
        <f t="shared" si="1"/>
        <v>3.3663147251840074E-2</v>
      </c>
      <c r="F65" s="25"/>
      <c r="G65" s="25"/>
    </row>
    <row r="66" spans="1:7" x14ac:dyDescent="0.2">
      <c r="A66" s="25"/>
      <c r="B66" s="223"/>
      <c r="C66" s="25"/>
      <c r="D66" s="219"/>
      <c r="E66" s="202"/>
      <c r="F66" s="25"/>
      <c r="G66" s="25"/>
    </row>
    <row r="67" spans="1:7" x14ac:dyDescent="0.2">
      <c r="A67" s="25"/>
      <c r="B67" s="225" t="s">
        <v>232</v>
      </c>
      <c r="C67" s="25"/>
      <c r="D67" s="200">
        <f>D59-D65</f>
        <v>-24820.881267692224</v>
      </c>
      <c r="E67" s="201">
        <f t="shared" si="1"/>
        <v>-1.2313924096775584E-2</v>
      </c>
      <c r="F67" s="25"/>
      <c r="G67" s="25"/>
    </row>
    <row r="68" spans="1:7" x14ac:dyDescent="0.2">
      <c r="A68" s="25"/>
      <c r="B68" s="223"/>
      <c r="C68" s="25"/>
      <c r="D68" s="219"/>
      <c r="E68" s="202"/>
      <c r="F68" s="25"/>
      <c r="G68" s="25"/>
    </row>
    <row r="69" spans="1:7" x14ac:dyDescent="0.2">
      <c r="A69" s="25"/>
      <c r="B69" s="225" t="s">
        <v>233</v>
      </c>
      <c r="C69" s="25"/>
      <c r="D69" s="200">
        <f>'Loan Amortization'!D10</f>
        <v>13067.313268426555</v>
      </c>
      <c r="E69" s="201">
        <f t="shared" si="1"/>
        <v>6.4828441021406984E-3</v>
      </c>
      <c r="F69" s="25"/>
      <c r="G69" s="25"/>
    </row>
    <row r="70" spans="1:7" x14ac:dyDescent="0.2">
      <c r="A70" s="25"/>
      <c r="B70" s="225"/>
      <c r="C70" s="169"/>
      <c r="D70" s="219"/>
      <c r="E70" s="202"/>
      <c r="F70" s="25"/>
      <c r="G70" s="25"/>
    </row>
    <row r="71" spans="1:7" x14ac:dyDescent="0.2">
      <c r="A71" s="25"/>
      <c r="B71" s="195" t="s">
        <v>234</v>
      </c>
      <c r="C71" s="25"/>
      <c r="D71" s="228">
        <f>D67-D69</f>
        <v>-37888.194536118783</v>
      </c>
      <c r="E71" s="201">
        <f t="shared" si="1"/>
        <v>-1.8796768198916285E-2</v>
      </c>
      <c r="F71" s="25"/>
      <c r="G71" s="25"/>
    </row>
    <row r="72" spans="1:7" x14ac:dyDescent="0.2">
      <c r="A72" s="25"/>
      <c r="B72" s="177"/>
      <c r="C72" s="25"/>
      <c r="D72" s="189"/>
      <c r="E72" s="202"/>
      <c r="F72" s="25"/>
      <c r="G72" s="25"/>
    </row>
    <row r="73" spans="1:7" x14ac:dyDescent="0.2">
      <c r="A73" s="25"/>
      <c r="B73" s="195" t="s">
        <v>235</v>
      </c>
      <c r="C73" s="25"/>
      <c r="D73" s="228">
        <f>D71*0.3</f>
        <v>-11366.458360835635</v>
      </c>
      <c r="E73" s="201">
        <f t="shared" ref="E73:E75" si="6">IFERROR(D73/$D$6,0)</f>
        <v>-5.6390304596748856E-3</v>
      </c>
      <c r="F73" s="25"/>
      <c r="G73" s="25"/>
    </row>
    <row r="74" spans="1:7" x14ac:dyDescent="0.2">
      <c r="A74" s="25"/>
      <c r="B74" s="177"/>
      <c r="C74" s="25"/>
      <c r="D74" s="189"/>
      <c r="E74" s="229"/>
      <c r="F74" s="25"/>
      <c r="G74" s="25"/>
    </row>
    <row r="75" spans="1:7" ht="16" thickBot="1" x14ac:dyDescent="0.25">
      <c r="A75" s="25"/>
      <c r="B75" s="230" t="s">
        <v>236</v>
      </c>
      <c r="C75" s="57"/>
      <c r="D75" s="231">
        <f>D71-D73</f>
        <v>-26521.736175283149</v>
      </c>
      <c r="E75" s="232">
        <f t="shared" si="6"/>
        <v>-1.31577377392414E-2</v>
      </c>
      <c r="F75" s="25"/>
      <c r="G75" s="25"/>
    </row>
    <row r="76" spans="1:7" x14ac:dyDescent="0.2">
      <c r="A76" s="25"/>
      <c r="B76" s="25"/>
      <c r="C76" s="25"/>
      <c r="D76" s="189"/>
      <c r="E76" s="60"/>
      <c r="F76" s="25"/>
      <c r="G76" s="25"/>
    </row>
    <row r="77" spans="1:7" x14ac:dyDescent="0.2">
      <c r="A77" s="25"/>
      <c r="B77" s="25"/>
      <c r="C77" s="25"/>
      <c r="D77" s="189"/>
      <c r="E77" s="60"/>
      <c r="F77" s="25"/>
      <c r="G77" s="25"/>
    </row>
    <row r="78" spans="1:7" x14ac:dyDescent="0.2">
      <c r="A78" s="25"/>
      <c r="B78" s="25"/>
      <c r="C78" s="25"/>
      <c r="D78" s="189"/>
      <c r="E78" s="60"/>
      <c r="F78" s="25"/>
      <c r="G78" s="25"/>
    </row>
  </sheetData>
  <mergeCells count="1">
    <mergeCell ref="B1:G1"/>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zoomScale="84" zoomScaleNormal="140" zoomScalePageLayoutView="130" workbookViewId="0">
      <pane ySplit="1" topLeftCell="A2" activePane="bottomLeft" state="frozen"/>
      <selection pane="bottomLeft" activeCell="F5" sqref="F5"/>
    </sheetView>
  </sheetViews>
  <sheetFormatPr baseColWidth="10" defaultColWidth="8.83203125" defaultRowHeight="14" x14ac:dyDescent="0.15"/>
  <cols>
    <col min="1" max="1" width="38.5" style="25" customWidth="1"/>
    <col min="2" max="14" width="12.6640625" style="25" bestFit="1" customWidth="1"/>
    <col min="15" max="15" width="14.33203125" style="25" bestFit="1" customWidth="1"/>
    <col min="16" max="16" width="13.83203125" style="25" customWidth="1"/>
    <col min="17" max="17" width="16.5" style="25" customWidth="1"/>
    <col min="18" max="18" width="15" style="25" customWidth="1"/>
    <col min="19" max="16384" width="8.83203125" style="25"/>
  </cols>
  <sheetData>
    <row r="1" spans="1:15" ht="16" x14ac:dyDescent="0.15">
      <c r="A1" s="234" t="s">
        <v>237</v>
      </c>
      <c r="B1" s="235"/>
      <c r="C1" s="236"/>
      <c r="D1" s="66" t="s">
        <v>238</v>
      </c>
      <c r="E1" s="67"/>
      <c r="F1" s="67"/>
      <c r="G1" s="67"/>
      <c r="H1" s="67"/>
      <c r="I1" s="67"/>
      <c r="J1" s="67"/>
      <c r="K1" s="67"/>
      <c r="L1" s="67"/>
      <c r="M1" s="67"/>
      <c r="N1" s="67"/>
      <c r="O1" s="67"/>
    </row>
    <row r="2" spans="1:15" ht="16" x14ac:dyDescent="0.15">
      <c r="A2" s="237"/>
      <c r="B2" s="121" t="s">
        <v>239</v>
      </c>
      <c r="C2" s="121" t="s">
        <v>240</v>
      </c>
      <c r="D2" s="121" t="s">
        <v>241</v>
      </c>
      <c r="E2" s="121" t="s">
        <v>242</v>
      </c>
      <c r="F2" s="121" t="s">
        <v>243</v>
      </c>
      <c r="G2" s="121" t="s">
        <v>244</v>
      </c>
      <c r="H2" s="121" t="s">
        <v>245</v>
      </c>
      <c r="I2" s="121" t="s">
        <v>246</v>
      </c>
      <c r="J2" s="121" t="s">
        <v>247</v>
      </c>
      <c r="K2" s="121" t="s">
        <v>248</v>
      </c>
      <c r="L2" s="121" t="s">
        <v>249</v>
      </c>
      <c r="M2" s="121" t="s">
        <v>250</v>
      </c>
      <c r="N2" s="121" t="s">
        <v>251</v>
      </c>
      <c r="O2" s="121" t="s">
        <v>252</v>
      </c>
    </row>
    <row r="3" spans="1:15" ht="16" x14ac:dyDescent="0.2">
      <c r="A3" s="238" t="s">
        <v>253</v>
      </c>
      <c r="B3" s="239">
        <f>'Hourly Customer'!$J$22*4</f>
        <v>155052</v>
      </c>
      <c r="C3" s="239">
        <f>'Hourly Customer'!$J$22*4</f>
        <v>155052</v>
      </c>
      <c r="D3" s="239">
        <f>'Hourly Customer'!$J$22*4</f>
        <v>155052</v>
      </c>
      <c r="E3" s="239">
        <f>'Hourly Customer'!$J$22*4</f>
        <v>155052</v>
      </c>
      <c r="F3" s="239">
        <f>'Hourly Customer'!$J$22*4</f>
        <v>155052</v>
      </c>
      <c r="G3" s="239">
        <f>'Hourly Customer'!$J$22*4</f>
        <v>155052</v>
      </c>
      <c r="H3" s="239">
        <f>'Hourly Customer'!$J$22*4</f>
        <v>155052</v>
      </c>
      <c r="I3" s="239">
        <f>'Hourly Customer'!$J$22*4</f>
        <v>155052</v>
      </c>
      <c r="J3" s="239">
        <f>'Hourly Customer'!$J$22*4</f>
        <v>155052</v>
      </c>
      <c r="K3" s="239">
        <f>'Hourly Customer'!$J$22*4</f>
        <v>155052</v>
      </c>
      <c r="L3" s="239">
        <f>'Hourly Customer'!$J$22*4</f>
        <v>155052</v>
      </c>
      <c r="M3" s="239">
        <f>'Hourly Customer'!$J$22*4</f>
        <v>155052</v>
      </c>
      <c r="N3" s="239">
        <f>'Hourly Customer'!$J$22*4</f>
        <v>155052</v>
      </c>
      <c r="O3" s="240">
        <f>SUM(B3:N3)</f>
        <v>2015676</v>
      </c>
    </row>
    <row r="4" spans="1:15" ht="16" x14ac:dyDescent="0.2">
      <c r="A4" s="241" t="s">
        <v>254</v>
      </c>
      <c r="B4" s="242">
        <f>'Hourly Customer'!$J$23*4</f>
        <v>53507.100000000006</v>
      </c>
      <c r="C4" s="242">
        <f>'Hourly Customer'!$J$23*4</f>
        <v>53507.100000000006</v>
      </c>
      <c r="D4" s="242">
        <f>'Hourly Customer'!$J$23*4</f>
        <v>53507.100000000006</v>
      </c>
      <c r="E4" s="242">
        <f>'Hourly Customer'!$J$23*4</f>
        <v>53507.100000000006</v>
      </c>
      <c r="F4" s="242">
        <f>'Hourly Customer'!$J$23*4</f>
        <v>53507.100000000006</v>
      </c>
      <c r="G4" s="242">
        <f>'Hourly Customer'!$J$23*4</f>
        <v>53507.100000000006</v>
      </c>
      <c r="H4" s="242">
        <f>'Hourly Customer'!$J$23*4</f>
        <v>53507.100000000006</v>
      </c>
      <c r="I4" s="242">
        <f>'Hourly Customer'!$J$23*4</f>
        <v>53507.100000000006</v>
      </c>
      <c r="J4" s="242">
        <f>'Hourly Customer'!$J$23*4</f>
        <v>53507.100000000006</v>
      </c>
      <c r="K4" s="242">
        <f>'Hourly Customer'!$J$23*4</f>
        <v>53507.100000000006</v>
      </c>
      <c r="L4" s="242">
        <f>'Hourly Customer'!$J$23*4</f>
        <v>53507.100000000006</v>
      </c>
      <c r="M4" s="242">
        <f>'Hourly Customer'!$J$23*4</f>
        <v>53507.100000000006</v>
      </c>
      <c r="N4" s="242">
        <f>'Hourly Customer'!$J$23*4</f>
        <v>53507.100000000006</v>
      </c>
      <c r="O4" s="243">
        <f>SUM(B4:N4)</f>
        <v>695592.29999999981</v>
      </c>
    </row>
    <row r="5" spans="1:15" ht="16" x14ac:dyDescent="0.2">
      <c r="A5" s="244" t="s">
        <v>255</v>
      </c>
      <c r="B5" s="242">
        <f>'Income Statement'!$D$15/13</f>
        <v>82016.281174437856</v>
      </c>
      <c r="C5" s="242">
        <f>'Income Statement'!$D$15/13</f>
        <v>82016.281174437856</v>
      </c>
      <c r="D5" s="242">
        <f>'Income Statement'!$D$15/13</f>
        <v>82016.281174437856</v>
      </c>
      <c r="E5" s="242">
        <f>'Income Statement'!$D$15/13</f>
        <v>82016.281174437856</v>
      </c>
      <c r="F5" s="242">
        <f>'Income Statement'!$D$15/13</f>
        <v>82016.281174437856</v>
      </c>
      <c r="G5" s="242">
        <f>'Income Statement'!$D$15/13</f>
        <v>82016.281174437856</v>
      </c>
      <c r="H5" s="242">
        <f>'Income Statement'!$D$15/13</f>
        <v>82016.281174437856</v>
      </c>
      <c r="I5" s="242">
        <f>'Income Statement'!$D$15/13</f>
        <v>82016.281174437856</v>
      </c>
      <c r="J5" s="242">
        <f>'Income Statement'!$D$15/13</f>
        <v>82016.281174437856</v>
      </c>
      <c r="K5" s="242">
        <f>'Income Statement'!$D$15/13</f>
        <v>82016.281174437856</v>
      </c>
      <c r="L5" s="242">
        <f>'Income Statement'!$D$15/13</f>
        <v>82016.281174437856</v>
      </c>
      <c r="M5" s="242">
        <f>'Income Statement'!$D$15/13</f>
        <v>82016.281174437856</v>
      </c>
      <c r="N5" s="242">
        <f>'Income Statement'!$D$15/13</f>
        <v>82016.281174437856</v>
      </c>
      <c r="O5" s="243">
        <f>SUM(B5:N5)</f>
        <v>1066211.6552676922</v>
      </c>
    </row>
    <row r="6" spans="1:15" ht="16" x14ac:dyDescent="0.2">
      <c r="A6" s="245" t="s">
        <v>256</v>
      </c>
      <c r="B6" s="243">
        <f>B4+B5</f>
        <v>135523.38117443788</v>
      </c>
      <c r="C6" s="243">
        <f t="shared" ref="C6:N6" si="0">C4+C5</f>
        <v>135523.38117443788</v>
      </c>
      <c r="D6" s="243">
        <f t="shared" si="0"/>
        <v>135523.38117443788</v>
      </c>
      <c r="E6" s="243">
        <f t="shared" si="0"/>
        <v>135523.38117443788</v>
      </c>
      <c r="F6" s="243">
        <f t="shared" si="0"/>
        <v>135523.38117443788</v>
      </c>
      <c r="G6" s="243">
        <f t="shared" si="0"/>
        <v>135523.38117443788</v>
      </c>
      <c r="H6" s="243">
        <f t="shared" si="0"/>
        <v>135523.38117443788</v>
      </c>
      <c r="I6" s="243">
        <f t="shared" si="0"/>
        <v>135523.38117443788</v>
      </c>
      <c r="J6" s="243">
        <f t="shared" si="0"/>
        <v>135523.38117443788</v>
      </c>
      <c r="K6" s="243">
        <f t="shared" si="0"/>
        <v>135523.38117443788</v>
      </c>
      <c r="L6" s="243">
        <f t="shared" si="0"/>
        <v>135523.38117443788</v>
      </c>
      <c r="M6" s="243">
        <f t="shared" si="0"/>
        <v>135523.38117443788</v>
      </c>
      <c r="N6" s="243">
        <f t="shared" si="0"/>
        <v>135523.38117443788</v>
      </c>
      <c r="O6" s="243">
        <f>SUM(B6:N6)</f>
        <v>1761803.9552676929</v>
      </c>
    </row>
    <row r="7" spans="1:15" ht="16" x14ac:dyDescent="0.2">
      <c r="A7" s="246" t="s">
        <v>257</v>
      </c>
      <c r="B7" s="247"/>
      <c r="C7" s="247"/>
      <c r="D7" s="247"/>
      <c r="E7" s="247"/>
      <c r="F7" s="248"/>
      <c r="G7" s="247"/>
      <c r="H7" s="247"/>
      <c r="I7" s="247"/>
      <c r="J7" s="247"/>
      <c r="K7" s="247"/>
      <c r="L7" s="247"/>
      <c r="M7" s="247"/>
      <c r="N7" s="249"/>
      <c r="O7" s="247"/>
    </row>
    <row r="8" spans="1:15" ht="16" x14ac:dyDescent="0.2">
      <c r="A8" s="250" t="s">
        <v>258</v>
      </c>
      <c r="B8" s="251">
        <f>'Income Statement'!$C$29/13</f>
        <v>5312.0584615384623</v>
      </c>
      <c r="C8" s="251">
        <f>'Income Statement'!$C$29/13</f>
        <v>5312.0584615384623</v>
      </c>
      <c r="D8" s="251">
        <f>'Income Statement'!$C$29/13</f>
        <v>5312.0584615384623</v>
      </c>
      <c r="E8" s="251">
        <f>'Income Statement'!$C$29/13</f>
        <v>5312.0584615384623</v>
      </c>
      <c r="F8" s="251">
        <f>'Income Statement'!$C$29/13</f>
        <v>5312.0584615384623</v>
      </c>
      <c r="G8" s="251">
        <f>'Income Statement'!$C$29/13</f>
        <v>5312.0584615384623</v>
      </c>
      <c r="H8" s="251">
        <f>'Income Statement'!$C$29/13</f>
        <v>5312.0584615384623</v>
      </c>
      <c r="I8" s="251">
        <f>'Income Statement'!$C$29/13</f>
        <v>5312.0584615384623</v>
      </c>
      <c r="J8" s="251">
        <f>'Income Statement'!$C$29/13</f>
        <v>5312.0584615384623</v>
      </c>
      <c r="K8" s="251">
        <f>'Income Statement'!$C$29/13</f>
        <v>5312.0584615384623</v>
      </c>
      <c r="L8" s="251">
        <f>'Income Statement'!$C$29/13</f>
        <v>5312.0584615384623</v>
      </c>
      <c r="M8" s="251">
        <f>'Income Statement'!$C$29/13</f>
        <v>5312.0584615384623</v>
      </c>
      <c r="N8" s="251">
        <f>'Income Statement'!$C$29/13</f>
        <v>5312.0584615384623</v>
      </c>
      <c r="O8" s="247">
        <f>SUM(B8:N8)</f>
        <v>69056.760000000024</v>
      </c>
    </row>
    <row r="9" spans="1:15" ht="16" x14ac:dyDescent="0.2">
      <c r="A9" s="252" t="s">
        <v>259</v>
      </c>
      <c r="B9" s="251">
        <f>'Income Statement'!$C$34/13</f>
        <v>1192.3076923076924</v>
      </c>
      <c r="C9" s="251">
        <f>'Income Statement'!$C$34/13</f>
        <v>1192.3076923076924</v>
      </c>
      <c r="D9" s="251">
        <f>'Income Statement'!$C$34/13</f>
        <v>1192.3076923076924</v>
      </c>
      <c r="E9" s="251">
        <f>'Income Statement'!$C$34/13</f>
        <v>1192.3076923076924</v>
      </c>
      <c r="F9" s="251">
        <f>'Income Statement'!$C$34/13</f>
        <v>1192.3076923076924</v>
      </c>
      <c r="G9" s="251">
        <f>'Income Statement'!$C$34/13</f>
        <v>1192.3076923076924</v>
      </c>
      <c r="H9" s="251">
        <f>'Income Statement'!$C$34/13</f>
        <v>1192.3076923076924</v>
      </c>
      <c r="I9" s="251">
        <f>'Income Statement'!$C$34/13</f>
        <v>1192.3076923076924</v>
      </c>
      <c r="J9" s="251">
        <f>'Income Statement'!$C$34/13</f>
        <v>1192.3076923076924</v>
      </c>
      <c r="K9" s="251">
        <f>'Income Statement'!$C$34/13</f>
        <v>1192.3076923076924</v>
      </c>
      <c r="L9" s="251">
        <f>'Income Statement'!$C$34/13</f>
        <v>1192.3076923076924</v>
      </c>
      <c r="M9" s="251">
        <f>'Income Statement'!$C$34/13</f>
        <v>1192.3076923076924</v>
      </c>
      <c r="N9" s="251">
        <f>'Income Statement'!$C$34/13</f>
        <v>1192.3076923076924</v>
      </c>
      <c r="O9" s="247">
        <f>SUM(B9:N9)</f>
        <v>15499.999999999996</v>
      </c>
    </row>
    <row r="10" spans="1:15" ht="16" x14ac:dyDescent="0.2">
      <c r="A10" s="252" t="s">
        <v>260</v>
      </c>
      <c r="B10" s="251">
        <f>'Income Statement'!$C$40/13</f>
        <v>3307.6923076923076</v>
      </c>
      <c r="C10" s="251">
        <f>'Income Statement'!$C$40/13</f>
        <v>3307.6923076923076</v>
      </c>
      <c r="D10" s="251">
        <f>'Income Statement'!$C$40/13</f>
        <v>3307.6923076923076</v>
      </c>
      <c r="E10" s="251">
        <f>'Income Statement'!$C$40/13</f>
        <v>3307.6923076923076</v>
      </c>
      <c r="F10" s="251">
        <f>'Income Statement'!$C$40/13</f>
        <v>3307.6923076923076</v>
      </c>
      <c r="G10" s="251">
        <f>'Income Statement'!$C$40/13</f>
        <v>3307.6923076923076</v>
      </c>
      <c r="H10" s="251">
        <f>'Income Statement'!$C$40/13</f>
        <v>3307.6923076923076</v>
      </c>
      <c r="I10" s="251">
        <f>'Income Statement'!$C$40/13</f>
        <v>3307.6923076923076</v>
      </c>
      <c r="J10" s="251">
        <f>'Income Statement'!$C$40/13</f>
        <v>3307.6923076923076</v>
      </c>
      <c r="K10" s="251">
        <f>'Income Statement'!$C$40/13</f>
        <v>3307.6923076923076</v>
      </c>
      <c r="L10" s="251">
        <f>'Income Statement'!$C$40/13</f>
        <v>3307.6923076923076</v>
      </c>
      <c r="M10" s="251">
        <f>'Income Statement'!$C$40/13</f>
        <v>3307.6923076923076</v>
      </c>
      <c r="N10" s="251">
        <f>'Income Statement'!$C$40/13</f>
        <v>3307.6923076923076</v>
      </c>
      <c r="O10" s="247">
        <f>SUM(B10:N10)</f>
        <v>42999.999999999993</v>
      </c>
    </row>
    <row r="11" spans="1:15" ht="16" x14ac:dyDescent="0.2">
      <c r="A11" s="252" t="s">
        <v>261</v>
      </c>
      <c r="B11" s="251">
        <f>'Income Statement'!$C$47/13</f>
        <v>4175.5513846153854</v>
      </c>
      <c r="C11" s="251">
        <f>'Income Statement'!$C$47/13</f>
        <v>4175.5513846153854</v>
      </c>
      <c r="D11" s="251">
        <f>'Income Statement'!$C$47/13</f>
        <v>4175.5513846153854</v>
      </c>
      <c r="E11" s="251">
        <f>'Income Statement'!$C$47/13</f>
        <v>4175.5513846153854</v>
      </c>
      <c r="F11" s="251">
        <f>'Income Statement'!$C$47/13</f>
        <v>4175.5513846153854</v>
      </c>
      <c r="G11" s="251">
        <f>'Income Statement'!$C$47/13</f>
        <v>4175.5513846153854</v>
      </c>
      <c r="H11" s="251">
        <f>'Income Statement'!$C$47/13</f>
        <v>4175.5513846153854</v>
      </c>
      <c r="I11" s="251">
        <f>'Income Statement'!$C$47/13</f>
        <v>4175.5513846153854</v>
      </c>
      <c r="J11" s="251">
        <f>'Income Statement'!$C$47/13</f>
        <v>4175.5513846153854</v>
      </c>
      <c r="K11" s="251">
        <f>'Income Statement'!$C$47/13</f>
        <v>4175.5513846153854</v>
      </c>
      <c r="L11" s="251">
        <f>'Income Statement'!$C$47/13</f>
        <v>4175.5513846153854</v>
      </c>
      <c r="M11" s="251">
        <f>'Income Statement'!$C$47/13</f>
        <v>4175.5513846153854</v>
      </c>
      <c r="N11" s="251">
        <f>'Income Statement'!$C$47/13</f>
        <v>4175.5513846153854</v>
      </c>
      <c r="O11" s="247">
        <f>SUM(B11:N11)</f>
        <v>54282.168000000005</v>
      </c>
    </row>
    <row r="12" spans="1:15" ht="16" x14ac:dyDescent="0.2">
      <c r="A12" s="252" t="s">
        <v>262</v>
      </c>
      <c r="B12" s="251">
        <f>'Income Statement'!$C$56/13</f>
        <v>2230.7692307692309</v>
      </c>
      <c r="C12" s="251">
        <f>'Income Statement'!$C$56/13</f>
        <v>2230.7692307692309</v>
      </c>
      <c r="D12" s="251">
        <f>'Income Statement'!$C$56/13</f>
        <v>2230.7692307692309</v>
      </c>
      <c r="E12" s="251">
        <f>'Income Statement'!$C$56/13</f>
        <v>2230.7692307692309</v>
      </c>
      <c r="F12" s="251">
        <f>'Income Statement'!$C$56/13</f>
        <v>2230.7692307692309</v>
      </c>
      <c r="G12" s="251">
        <f>'Income Statement'!$C$56/13</f>
        <v>2230.7692307692309</v>
      </c>
      <c r="H12" s="251">
        <f>'Income Statement'!$C$56/13</f>
        <v>2230.7692307692309</v>
      </c>
      <c r="I12" s="251">
        <f>'Income Statement'!$C$56/13</f>
        <v>2230.7692307692309</v>
      </c>
      <c r="J12" s="251">
        <f>'Income Statement'!$C$56/13</f>
        <v>2230.7692307692309</v>
      </c>
      <c r="K12" s="251">
        <f>'Income Statement'!$C$56/13</f>
        <v>2230.7692307692309</v>
      </c>
      <c r="L12" s="251">
        <f>'Income Statement'!$C$56/13</f>
        <v>2230.7692307692309</v>
      </c>
      <c r="M12" s="251">
        <f>'Income Statement'!$C$56/13</f>
        <v>2230.7692307692309</v>
      </c>
      <c r="N12" s="251">
        <f>'Income Statement'!$C$56/13</f>
        <v>2230.7692307692309</v>
      </c>
      <c r="O12" s="247">
        <f>SUM(B12:N12)</f>
        <v>29000</v>
      </c>
    </row>
    <row r="13" spans="1:15" ht="19" x14ac:dyDescent="0.35">
      <c r="A13" s="253" t="s">
        <v>263</v>
      </c>
      <c r="B13" s="254">
        <f>SUM(B8:B12)</f>
        <v>16218.379076923076</v>
      </c>
      <c r="C13" s="254">
        <f t="shared" ref="C13:N13" si="1">SUM(C8:C12)</f>
        <v>16218.379076923076</v>
      </c>
      <c r="D13" s="254">
        <f t="shared" si="1"/>
        <v>16218.379076923076</v>
      </c>
      <c r="E13" s="254">
        <f t="shared" si="1"/>
        <v>16218.379076923076</v>
      </c>
      <c r="F13" s="254">
        <f t="shared" si="1"/>
        <v>16218.379076923076</v>
      </c>
      <c r="G13" s="254">
        <f t="shared" si="1"/>
        <v>16218.379076923076</v>
      </c>
      <c r="H13" s="254">
        <f t="shared" si="1"/>
        <v>16218.379076923076</v>
      </c>
      <c r="I13" s="254">
        <f t="shared" si="1"/>
        <v>16218.379076923076</v>
      </c>
      <c r="J13" s="254">
        <f t="shared" si="1"/>
        <v>16218.379076923076</v>
      </c>
      <c r="K13" s="254">
        <f t="shared" si="1"/>
        <v>16218.379076923076</v>
      </c>
      <c r="L13" s="254">
        <f t="shared" si="1"/>
        <v>16218.379076923076</v>
      </c>
      <c r="M13" s="254">
        <f t="shared" si="1"/>
        <v>16218.379076923076</v>
      </c>
      <c r="N13" s="254">
        <f t="shared" si="1"/>
        <v>16218.379076923076</v>
      </c>
      <c r="O13" s="255">
        <f t="shared" ref="O13:O17" si="2">SUM(B13:N13)</f>
        <v>210838.92799999993</v>
      </c>
    </row>
    <row r="14" spans="1:15" ht="16" x14ac:dyDescent="0.2">
      <c r="A14" s="256" t="s">
        <v>264</v>
      </c>
      <c r="B14" s="257">
        <f>B3-B6-B13</f>
        <v>3310.2397486390473</v>
      </c>
      <c r="C14" s="257">
        <f t="shared" ref="C14:N14" si="3">C3-C6-C13</f>
        <v>3310.2397486390473</v>
      </c>
      <c r="D14" s="257">
        <f t="shared" si="3"/>
        <v>3310.2397486390473</v>
      </c>
      <c r="E14" s="257">
        <f t="shared" si="3"/>
        <v>3310.2397486390473</v>
      </c>
      <c r="F14" s="257">
        <f t="shared" si="3"/>
        <v>3310.2397486390473</v>
      </c>
      <c r="G14" s="257">
        <f t="shared" si="3"/>
        <v>3310.2397486390473</v>
      </c>
      <c r="H14" s="257">
        <f t="shared" si="3"/>
        <v>3310.2397486390473</v>
      </c>
      <c r="I14" s="257">
        <f t="shared" si="3"/>
        <v>3310.2397486390473</v>
      </c>
      <c r="J14" s="257">
        <f t="shared" si="3"/>
        <v>3310.2397486390473</v>
      </c>
      <c r="K14" s="257">
        <f t="shared" si="3"/>
        <v>3310.2397486390473</v>
      </c>
      <c r="L14" s="257">
        <f t="shared" si="3"/>
        <v>3310.2397486390473</v>
      </c>
      <c r="M14" s="257">
        <f t="shared" si="3"/>
        <v>3310.2397486390473</v>
      </c>
      <c r="N14" s="257">
        <f t="shared" si="3"/>
        <v>3310.2397486390473</v>
      </c>
      <c r="O14" s="257">
        <f t="shared" si="2"/>
        <v>43033.116732307615</v>
      </c>
    </row>
    <row r="15" spans="1:15" ht="16" x14ac:dyDescent="0.2">
      <c r="A15" s="258" t="s">
        <v>265</v>
      </c>
      <c r="B15" s="251"/>
      <c r="C15" s="251"/>
      <c r="D15" s="251"/>
      <c r="E15" s="251"/>
      <c r="F15" s="251"/>
      <c r="G15" s="251"/>
      <c r="H15" s="251"/>
      <c r="I15" s="251"/>
      <c r="J15" s="251"/>
      <c r="K15" s="251"/>
      <c r="L15" s="251"/>
      <c r="M15" s="251"/>
      <c r="N15" s="251"/>
      <c r="O15" s="247"/>
    </row>
    <row r="16" spans="1:15" ht="16" x14ac:dyDescent="0.2">
      <c r="A16" s="252" t="s">
        <v>266</v>
      </c>
      <c r="B16" s="251">
        <f>'Income Statement'!$C$62/13</f>
        <v>1384.6153846153845</v>
      </c>
      <c r="C16" s="251">
        <f>'Income Statement'!$C$62/13</f>
        <v>1384.6153846153845</v>
      </c>
      <c r="D16" s="251">
        <f>'Income Statement'!$C$62/13</f>
        <v>1384.6153846153845</v>
      </c>
      <c r="E16" s="251">
        <f>'Income Statement'!$C$62/13</f>
        <v>1384.6153846153845</v>
      </c>
      <c r="F16" s="251">
        <f>'Income Statement'!$C$62/13</f>
        <v>1384.6153846153845</v>
      </c>
      <c r="G16" s="251">
        <f>'Income Statement'!$C$62/13</f>
        <v>1384.6153846153845</v>
      </c>
      <c r="H16" s="251">
        <f>'Income Statement'!$C$62/13</f>
        <v>1384.6153846153845</v>
      </c>
      <c r="I16" s="251">
        <f>'Income Statement'!$C$62/13</f>
        <v>1384.6153846153845</v>
      </c>
      <c r="J16" s="251">
        <f>'Income Statement'!$C$62/13</f>
        <v>1384.6153846153845</v>
      </c>
      <c r="K16" s="251">
        <f>'Income Statement'!$C$62/13</f>
        <v>1384.6153846153845</v>
      </c>
      <c r="L16" s="251">
        <f>'Income Statement'!$C$62/13</f>
        <v>1384.6153846153845</v>
      </c>
      <c r="M16" s="251">
        <f>'Income Statement'!$C$62/13</f>
        <v>1384.6153846153845</v>
      </c>
      <c r="N16" s="251">
        <f>'Income Statement'!$C$62/13</f>
        <v>1384.6153846153845</v>
      </c>
      <c r="O16" s="247">
        <f t="shared" si="2"/>
        <v>17999.999999999996</v>
      </c>
    </row>
    <row r="17" spans="1:17" ht="19" x14ac:dyDescent="0.35">
      <c r="A17" s="252" t="s">
        <v>267</v>
      </c>
      <c r="B17" s="254">
        <f>'Income Statement'!$C$63/13</f>
        <v>3834.9229230769229</v>
      </c>
      <c r="C17" s="254">
        <f>'Income Statement'!$C$63/13</f>
        <v>3834.9229230769229</v>
      </c>
      <c r="D17" s="254">
        <f>'Income Statement'!$C$63/13</f>
        <v>3834.9229230769229</v>
      </c>
      <c r="E17" s="254">
        <f>'Income Statement'!$C$63/13</f>
        <v>3834.9229230769229</v>
      </c>
      <c r="F17" s="254">
        <f>'Income Statement'!$C$63/13</f>
        <v>3834.9229230769229</v>
      </c>
      <c r="G17" s="254">
        <f>'Income Statement'!$C$63/13</f>
        <v>3834.9229230769229</v>
      </c>
      <c r="H17" s="254">
        <f>'Income Statement'!$C$63/13</f>
        <v>3834.9229230769229</v>
      </c>
      <c r="I17" s="254">
        <f>'Income Statement'!$C$63/13</f>
        <v>3834.9229230769229</v>
      </c>
      <c r="J17" s="254">
        <f>'Income Statement'!$C$63/13</f>
        <v>3834.9229230769229</v>
      </c>
      <c r="K17" s="254">
        <f>'Income Statement'!$C$63/13</f>
        <v>3834.9229230769229</v>
      </c>
      <c r="L17" s="254">
        <f>'Income Statement'!$C$63/13</f>
        <v>3834.9229230769229</v>
      </c>
      <c r="M17" s="254">
        <f>'Income Statement'!$C$63/13</f>
        <v>3834.9229230769229</v>
      </c>
      <c r="N17" s="254">
        <f>'Income Statement'!$C$63/13</f>
        <v>3834.9229230769229</v>
      </c>
      <c r="O17" s="255">
        <f t="shared" si="2"/>
        <v>49853.997999999985</v>
      </c>
    </row>
    <row r="18" spans="1:17" ht="16" x14ac:dyDescent="0.2">
      <c r="A18" s="253" t="s">
        <v>268</v>
      </c>
      <c r="B18" s="247">
        <f>SUM(B16:B17)</f>
        <v>5219.5383076923072</v>
      </c>
      <c r="C18" s="247">
        <f t="shared" ref="C18:N18" si="4">SUM(C16:C17)</f>
        <v>5219.5383076923072</v>
      </c>
      <c r="D18" s="247">
        <f t="shared" si="4"/>
        <v>5219.5383076923072</v>
      </c>
      <c r="E18" s="247">
        <f t="shared" si="4"/>
        <v>5219.5383076923072</v>
      </c>
      <c r="F18" s="247">
        <f t="shared" si="4"/>
        <v>5219.5383076923072</v>
      </c>
      <c r="G18" s="247">
        <f t="shared" si="4"/>
        <v>5219.5383076923072</v>
      </c>
      <c r="H18" s="247">
        <f t="shared" si="4"/>
        <v>5219.5383076923072</v>
      </c>
      <c r="I18" s="247">
        <f t="shared" si="4"/>
        <v>5219.5383076923072</v>
      </c>
      <c r="J18" s="247">
        <f t="shared" si="4"/>
        <v>5219.5383076923072</v>
      </c>
      <c r="K18" s="247">
        <f t="shared" si="4"/>
        <v>5219.5383076923072</v>
      </c>
      <c r="L18" s="247">
        <f t="shared" si="4"/>
        <v>5219.5383076923072</v>
      </c>
      <c r="M18" s="247">
        <f t="shared" si="4"/>
        <v>5219.5383076923072</v>
      </c>
      <c r="N18" s="247">
        <f t="shared" si="4"/>
        <v>5219.5383076923072</v>
      </c>
      <c r="O18" s="247">
        <f>SUM(B18:N18)</f>
        <v>67853.998000000007</v>
      </c>
    </row>
    <row r="19" spans="1:17" ht="16" x14ac:dyDescent="0.2">
      <c r="A19" s="256" t="s">
        <v>269</v>
      </c>
      <c r="B19" s="257">
        <f>B14-B18</f>
        <v>-1909.2985590532599</v>
      </c>
      <c r="C19" s="257">
        <f t="shared" ref="C19:N19" si="5">C14-C18</f>
        <v>-1909.2985590532599</v>
      </c>
      <c r="D19" s="257">
        <f t="shared" si="5"/>
        <v>-1909.2985590532599</v>
      </c>
      <c r="E19" s="257">
        <f t="shared" si="5"/>
        <v>-1909.2985590532599</v>
      </c>
      <c r="F19" s="257">
        <f t="shared" si="5"/>
        <v>-1909.2985590532599</v>
      </c>
      <c r="G19" s="257">
        <f t="shared" si="5"/>
        <v>-1909.2985590532599</v>
      </c>
      <c r="H19" s="257">
        <f t="shared" si="5"/>
        <v>-1909.2985590532599</v>
      </c>
      <c r="I19" s="257">
        <f t="shared" si="5"/>
        <v>-1909.2985590532599</v>
      </c>
      <c r="J19" s="257">
        <f t="shared" si="5"/>
        <v>-1909.2985590532599</v>
      </c>
      <c r="K19" s="257">
        <f t="shared" si="5"/>
        <v>-1909.2985590532599</v>
      </c>
      <c r="L19" s="257">
        <f t="shared" si="5"/>
        <v>-1909.2985590532599</v>
      </c>
      <c r="M19" s="257">
        <f t="shared" si="5"/>
        <v>-1909.2985590532599</v>
      </c>
      <c r="N19" s="257">
        <f t="shared" si="5"/>
        <v>-1909.2985590532599</v>
      </c>
      <c r="O19" s="257">
        <f>SUM(B19:N19)</f>
        <v>-24820.88126769237</v>
      </c>
    </row>
    <row r="20" spans="1:17" ht="16" x14ac:dyDescent="0.2">
      <c r="A20" s="258" t="s">
        <v>270</v>
      </c>
      <c r="B20" s="259">
        <f>'Income Statement'!$D$69/13</f>
        <v>1005.1779437251196</v>
      </c>
      <c r="C20" s="259">
        <f>'Income Statement'!$D$69/13</f>
        <v>1005.1779437251196</v>
      </c>
      <c r="D20" s="259">
        <f>'Income Statement'!$D$69/13</f>
        <v>1005.1779437251196</v>
      </c>
      <c r="E20" s="259">
        <f>'Income Statement'!$D$69/13</f>
        <v>1005.1779437251196</v>
      </c>
      <c r="F20" s="259">
        <f>'Income Statement'!$D$69/13</f>
        <v>1005.1779437251196</v>
      </c>
      <c r="G20" s="259">
        <f>'Income Statement'!$D$69/13</f>
        <v>1005.1779437251196</v>
      </c>
      <c r="H20" s="259">
        <f>'Income Statement'!$D$69/13</f>
        <v>1005.1779437251196</v>
      </c>
      <c r="I20" s="259">
        <f>'Income Statement'!$D$69/13</f>
        <v>1005.1779437251196</v>
      </c>
      <c r="J20" s="259">
        <f>'Income Statement'!$D$69/13</f>
        <v>1005.1779437251196</v>
      </c>
      <c r="K20" s="259">
        <f>'Income Statement'!$D$69/13</f>
        <v>1005.1779437251196</v>
      </c>
      <c r="L20" s="259">
        <f>'Income Statement'!$D$69/13</f>
        <v>1005.1779437251196</v>
      </c>
      <c r="M20" s="259">
        <f>'Income Statement'!$D$69/13</f>
        <v>1005.1779437251196</v>
      </c>
      <c r="N20" s="259">
        <f>'Income Statement'!$D$69/13</f>
        <v>1005.1779437251196</v>
      </c>
      <c r="O20" s="247">
        <f>SUM(B20:N20)</f>
        <v>13067.313268426553</v>
      </c>
    </row>
    <row r="21" spans="1:17" ht="16" x14ac:dyDescent="0.2">
      <c r="A21" s="260" t="s">
        <v>271</v>
      </c>
      <c r="B21" s="257">
        <f>B19-B20</f>
        <v>-2914.4765027783797</v>
      </c>
      <c r="C21" s="257">
        <f t="shared" ref="C21:N21" si="6">C19-C20</f>
        <v>-2914.4765027783797</v>
      </c>
      <c r="D21" s="257">
        <f t="shared" si="6"/>
        <v>-2914.4765027783797</v>
      </c>
      <c r="E21" s="257">
        <f t="shared" si="6"/>
        <v>-2914.4765027783797</v>
      </c>
      <c r="F21" s="257">
        <f t="shared" si="6"/>
        <v>-2914.4765027783797</v>
      </c>
      <c r="G21" s="257">
        <f t="shared" si="6"/>
        <v>-2914.4765027783797</v>
      </c>
      <c r="H21" s="257">
        <f t="shared" si="6"/>
        <v>-2914.4765027783797</v>
      </c>
      <c r="I21" s="257">
        <f t="shared" si="6"/>
        <v>-2914.4765027783797</v>
      </c>
      <c r="J21" s="257">
        <f t="shared" si="6"/>
        <v>-2914.4765027783797</v>
      </c>
      <c r="K21" s="257">
        <f t="shared" si="6"/>
        <v>-2914.4765027783797</v>
      </c>
      <c r="L21" s="257">
        <f t="shared" si="6"/>
        <v>-2914.4765027783797</v>
      </c>
      <c r="M21" s="257">
        <f t="shared" si="6"/>
        <v>-2914.4765027783797</v>
      </c>
      <c r="N21" s="257">
        <f t="shared" si="6"/>
        <v>-2914.4765027783797</v>
      </c>
      <c r="O21" s="257">
        <f t="shared" ref="O21" si="7">SUM(B21:N21)</f>
        <v>-37888.194536118936</v>
      </c>
    </row>
    <row r="22" spans="1:17" ht="16" x14ac:dyDescent="0.2">
      <c r="Q22" s="68"/>
    </row>
    <row r="23" spans="1:17" ht="16" x14ac:dyDescent="0.2">
      <c r="Q23" s="68"/>
    </row>
    <row r="24" spans="1:17" ht="16" x14ac:dyDescent="0.2">
      <c r="Q24" s="68"/>
    </row>
    <row r="25" spans="1:17" ht="16" x14ac:dyDescent="0.2">
      <c r="D25" s="56"/>
      <c r="E25" s="56"/>
      <c r="F25" s="56"/>
      <c r="G25" s="56"/>
      <c r="H25" s="56"/>
      <c r="I25" s="56"/>
      <c r="J25" s="56"/>
      <c r="K25" s="56"/>
      <c r="L25" s="56"/>
      <c r="M25" s="56"/>
      <c r="N25" s="56"/>
      <c r="O25" s="56"/>
      <c r="P25" s="56"/>
      <c r="Q25" s="68"/>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5"/>
  <sheetViews>
    <sheetView zoomScale="85" zoomScaleNormal="145" zoomScalePageLayoutView="145" workbookViewId="0">
      <pane ySplit="1" topLeftCell="A2" activePane="bottomLeft" state="frozen"/>
      <selection pane="bottomLeft" activeCell="C25" sqref="C25"/>
    </sheetView>
  </sheetViews>
  <sheetFormatPr baseColWidth="10" defaultColWidth="8.83203125" defaultRowHeight="14" x14ac:dyDescent="0.15"/>
  <cols>
    <col min="1" max="1" width="38.5" style="25" customWidth="1"/>
    <col min="2" max="11" width="14" style="25" bestFit="1" customWidth="1"/>
    <col min="12" max="12" width="13.83203125" style="25" customWidth="1"/>
    <col min="13" max="13" width="16.5" style="25" customWidth="1"/>
    <col min="14" max="14" width="15" style="25" customWidth="1"/>
    <col min="15" max="16384" width="8.83203125" style="25"/>
  </cols>
  <sheetData>
    <row r="1" spans="1:11" ht="16" x14ac:dyDescent="0.15">
      <c r="A1" s="234" t="s">
        <v>272</v>
      </c>
      <c r="B1" s="235"/>
      <c r="C1" s="236"/>
      <c r="D1" s="66" t="s">
        <v>238</v>
      </c>
      <c r="E1" s="67"/>
      <c r="F1" s="67"/>
      <c r="G1" s="67"/>
      <c r="H1" s="67"/>
      <c r="I1" s="67"/>
      <c r="J1" s="67"/>
      <c r="K1" s="67"/>
    </row>
    <row r="2" spans="1:11" ht="16" x14ac:dyDescent="0.15">
      <c r="A2" s="237"/>
      <c r="B2" s="121" t="s">
        <v>273</v>
      </c>
      <c r="C2" s="121" t="s">
        <v>274</v>
      </c>
      <c r="D2" s="121" t="s">
        <v>275</v>
      </c>
      <c r="E2" s="121" t="s">
        <v>276</v>
      </c>
      <c r="F2" s="121" t="s">
        <v>277</v>
      </c>
      <c r="G2" s="121" t="s">
        <v>278</v>
      </c>
      <c r="H2" s="121" t="s">
        <v>279</v>
      </c>
      <c r="I2" s="121" t="s">
        <v>280</v>
      </c>
      <c r="J2" s="121" t="s">
        <v>281</v>
      </c>
      <c r="K2" s="121" t="s">
        <v>282</v>
      </c>
    </row>
    <row r="3" spans="1:11" ht="16" x14ac:dyDescent="0.2">
      <c r="A3" s="238" t="s">
        <v>253</v>
      </c>
      <c r="B3" s="239">
        <f>E3*0.6</f>
        <v>1209405.5999999999</v>
      </c>
      <c r="C3" s="239">
        <f>E3*0.7</f>
        <v>1410973.2</v>
      </c>
      <c r="D3" s="239">
        <f>E3*0.85</f>
        <v>1713324.5999999999</v>
      </c>
      <c r="E3" s="239">
        <f>'Monthly IS'!$O$3</f>
        <v>2015676</v>
      </c>
      <c r="F3" s="239">
        <f>'Monthly IS'!$O$3</f>
        <v>2015676</v>
      </c>
      <c r="G3" s="239">
        <f>'Monthly IS'!$O$3</f>
        <v>2015676</v>
      </c>
      <c r="H3" s="239">
        <f>'Monthly IS'!$O$3</f>
        <v>2015676</v>
      </c>
      <c r="I3" s="239">
        <f>'Monthly IS'!$O$3</f>
        <v>2015676</v>
      </c>
      <c r="J3" s="239">
        <f>'Monthly IS'!$O$3</f>
        <v>2015676</v>
      </c>
      <c r="K3" s="239">
        <f>'Monthly IS'!$O$3</f>
        <v>2015676</v>
      </c>
    </row>
    <row r="4" spans="1:11" ht="16" x14ac:dyDescent="0.2">
      <c r="A4" s="241" t="s">
        <v>254</v>
      </c>
      <c r="B4" s="242">
        <f t="shared" ref="B4" si="0">E4*0.6</f>
        <v>417355.37999999989</v>
      </c>
      <c r="C4" s="242">
        <f t="shared" ref="C4" si="1">E4*0.7</f>
        <v>486914.60999999981</v>
      </c>
      <c r="D4" s="242">
        <f t="shared" ref="D4" si="2">E4*0.85</f>
        <v>591253.45499999984</v>
      </c>
      <c r="E4" s="242">
        <f>'Monthly IS'!$O$4</f>
        <v>695592.29999999981</v>
      </c>
      <c r="F4" s="242">
        <f>'Monthly IS'!$O$4</f>
        <v>695592.29999999981</v>
      </c>
      <c r="G4" s="242">
        <f>'Monthly IS'!$O$4</f>
        <v>695592.29999999981</v>
      </c>
      <c r="H4" s="242">
        <f>'Monthly IS'!$O$4</f>
        <v>695592.29999999981</v>
      </c>
      <c r="I4" s="242">
        <f>'Monthly IS'!$O$4</f>
        <v>695592.29999999981</v>
      </c>
      <c r="J4" s="242">
        <f>'Monthly IS'!$O$4</f>
        <v>695592.29999999981</v>
      </c>
      <c r="K4" s="242">
        <f>'Monthly IS'!$O$4</f>
        <v>695592.29999999981</v>
      </c>
    </row>
    <row r="5" spans="1:11" ht="16" x14ac:dyDescent="0.2">
      <c r="A5" s="244" t="s">
        <v>255</v>
      </c>
      <c r="B5" s="242">
        <f>E5*0.8</f>
        <v>852969.32421415381</v>
      </c>
      <c r="C5" s="242">
        <f>E5*0.85</f>
        <v>906279.90697753837</v>
      </c>
      <c r="D5" s="242">
        <f>E5*0.9</f>
        <v>959590.48974092293</v>
      </c>
      <c r="E5" s="242">
        <f>'Monthly IS'!$O$5</f>
        <v>1066211.6552676922</v>
      </c>
      <c r="F5" s="242">
        <f>'Monthly IS'!$O$5</f>
        <v>1066211.6552676922</v>
      </c>
      <c r="G5" s="242">
        <f>'Monthly IS'!$O$5</f>
        <v>1066211.6552676922</v>
      </c>
      <c r="H5" s="242">
        <f>'Monthly IS'!$O$5</f>
        <v>1066211.6552676922</v>
      </c>
      <c r="I5" s="242">
        <f>'Monthly IS'!$O$5</f>
        <v>1066211.6552676922</v>
      </c>
      <c r="J5" s="242">
        <f>'Monthly IS'!$O$5</f>
        <v>1066211.6552676922</v>
      </c>
      <c r="K5" s="242">
        <f>'Monthly IS'!$O$5</f>
        <v>1066211.6552676922</v>
      </c>
    </row>
    <row r="6" spans="1:11" ht="16" x14ac:dyDescent="0.2">
      <c r="A6" s="245" t="s">
        <v>256</v>
      </c>
      <c r="B6" s="243">
        <f>B4+B5</f>
        <v>1270324.7042141538</v>
      </c>
      <c r="C6" s="243">
        <f t="shared" ref="C6:K6" si="3">C4+C5</f>
        <v>1393194.5169775381</v>
      </c>
      <c r="D6" s="243">
        <f t="shared" si="3"/>
        <v>1550843.9447409227</v>
      </c>
      <c r="E6" s="243">
        <f t="shared" si="3"/>
        <v>1761803.955267692</v>
      </c>
      <c r="F6" s="243">
        <f t="shared" si="3"/>
        <v>1761803.955267692</v>
      </c>
      <c r="G6" s="243">
        <f t="shared" si="3"/>
        <v>1761803.955267692</v>
      </c>
      <c r="H6" s="243">
        <f t="shared" si="3"/>
        <v>1761803.955267692</v>
      </c>
      <c r="I6" s="243">
        <f t="shared" si="3"/>
        <v>1761803.955267692</v>
      </c>
      <c r="J6" s="243">
        <f t="shared" si="3"/>
        <v>1761803.955267692</v>
      </c>
      <c r="K6" s="243">
        <f t="shared" si="3"/>
        <v>1761803.955267692</v>
      </c>
    </row>
    <row r="7" spans="1:11" ht="16" x14ac:dyDescent="0.2">
      <c r="A7" s="246" t="s">
        <v>257</v>
      </c>
      <c r="B7" s="247"/>
      <c r="C7" s="247"/>
      <c r="D7" s="247"/>
      <c r="E7" s="247"/>
      <c r="F7" s="248"/>
      <c r="G7" s="247"/>
      <c r="H7" s="247"/>
      <c r="I7" s="247"/>
      <c r="J7" s="247"/>
      <c r="K7" s="247"/>
    </row>
    <row r="8" spans="1:11" ht="16" x14ac:dyDescent="0.2">
      <c r="A8" s="250" t="s">
        <v>258</v>
      </c>
      <c r="B8" s="251">
        <f>'Monthly IS'!$O$8</f>
        <v>69056.760000000024</v>
      </c>
      <c r="C8" s="251">
        <f>'Monthly IS'!$O$8</f>
        <v>69056.760000000024</v>
      </c>
      <c r="D8" s="251">
        <f>'Monthly IS'!$O$8</f>
        <v>69056.760000000024</v>
      </c>
      <c r="E8" s="251">
        <f>'Monthly IS'!$O$8</f>
        <v>69056.760000000024</v>
      </c>
      <c r="F8" s="251">
        <f>'Monthly IS'!$O$8</f>
        <v>69056.760000000024</v>
      </c>
      <c r="G8" s="251">
        <f>'Monthly IS'!$O$8</f>
        <v>69056.760000000024</v>
      </c>
      <c r="H8" s="251">
        <f>'Monthly IS'!$O$8</f>
        <v>69056.760000000024</v>
      </c>
      <c r="I8" s="251">
        <f>'Monthly IS'!$O$8</f>
        <v>69056.760000000024</v>
      </c>
      <c r="J8" s="251">
        <f>'Monthly IS'!$O$8</f>
        <v>69056.760000000024</v>
      </c>
      <c r="K8" s="251">
        <f>'Monthly IS'!$O$8</f>
        <v>69056.760000000024</v>
      </c>
    </row>
    <row r="9" spans="1:11" ht="16" x14ac:dyDescent="0.2">
      <c r="A9" s="252" t="s">
        <v>259</v>
      </c>
      <c r="B9" s="251">
        <f>'Monthly IS'!$O$9</f>
        <v>15499.999999999996</v>
      </c>
      <c r="C9" s="251">
        <f>'Monthly IS'!$O$9</f>
        <v>15499.999999999996</v>
      </c>
      <c r="D9" s="251">
        <f>'Monthly IS'!$O$9</f>
        <v>15499.999999999996</v>
      </c>
      <c r="E9" s="251">
        <f>'Monthly IS'!$O$9</f>
        <v>15499.999999999996</v>
      </c>
      <c r="F9" s="251">
        <f>'Monthly IS'!$O$9</f>
        <v>15499.999999999996</v>
      </c>
      <c r="G9" s="251">
        <f>'Monthly IS'!$O$9</f>
        <v>15499.999999999996</v>
      </c>
      <c r="H9" s="251">
        <f>'Monthly IS'!$O$9</f>
        <v>15499.999999999996</v>
      </c>
      <c r="I9" s="251">
        <f>'Monthly IS'!$O$9</f>
        <v>15499.999999999996</v>
      </c>
      <c r="J9" s="251">
        <f>'Monthly IS'!$O$9</f>
        <v>15499.999999999996</v>
      </c>
      <c r="K9" s="251">
        <f>'Monthly IS'!$O$9</f>
        <v>15499.999999999996</v>
      </c>
    </row>
    <row r="10" spans="1:11" ht="16" x14ac:dyDescent="0.2">
      <c r="A10" s="252" t="s">
        <v>260</v>
      </c>
      <c r="B10" s="251">
        <f>'Monthly IS'!$O$10</f>
        <v>42999.999999999993</v>
      </c>
      <c r="C10" s="251">
        <f>'Monthly IS'!$O$10</f>
        <v>42999.999999999993</v>
      </c>
      <c r="D10" s="251">
        <f>'Monthly IS'!$O$10</f>
        <v>42999.999999999993</v>
      </c>
      <c r="E10" s="251">
        <f>'Monthly IS'!$O$10</f>
        <v>42999.999999999993</v>
      </c>
      <c r="F10" s="251">
        <f>'Monthly IS'!$O$10</f>
        <v>42999.999999999993</v>
      </c>
      <c r="G10" s="251">
        <f>'Monthly IS'!$O$10</f>
        <v>42999.999999999993</v>
      </c>
      <c r="H10" s="251">
        <f>'Monthly IS'!$O$10</f>
        <v>42999.999999999993</v>
      </c>
      <c r="I10" s="251">
        <f>'Monthly IS'!$O$10</f>
        <v>42999.999999999993</v>
      </c>
      <c r="J10" s="251">
        <f>'Monthly IS'!$O$10</f>
        <v>42999.999999999993</v>
      </c>
      <c r="K10" s="251">
        <f>'Monthly IS'!$O$10</f>
        <v>42999.999999999993</v>
      </c>
    </row>
    <row r="11" spans="1:11" ht="16" x14ac:dyDescent="0.2">
      <c r="A11" s="252" t="s">
        <v>261</v>
      </c>
      <c r="B11" s="251">
        <f>'Monthly IS'!$O$11</f>
        <v>54282.168000000005</v>
      </c>
      <c r="C11" s="251">
        <f>'Monthly IS'!$O$11</f>
        <v>54282.168000000005</v>
      </c>
      <c r="D11" s="251">
        <f>'Monthly IS'!$O$11</f>
        <v>54282.168000000005</v>
      </c>
      <c r="E11" s="251">
        <f>'Monthly IS'!$O$11</f>
        <v>54282.168000000005</v>
      </c>
      <c r="F11" s="251">
        <f>'Monthly IS'!$O$11</f>
        <v>54282.168000000005</v>
      </c>
      <c r="G11" s="251">
        <f>'Monthly IS'!$O$11</f>
        <v>54282.168000000005</v>
      </c>
      <c r="H11" s="251">
        <f>'Monthly IS'!$O$11</f>
        <v>54282.168000000005</v>
      </c>
      <c r="I11" s="251">
        <f>'Monthly IS'!$O$11</f>
        <v>54282.168000000005</v>
      </c>
      <c r="J11" s="251">
        <f>'Monthly IS'!$O$11</f>
        <v>54282.168000000005</v>
      </c>
      <c r="K11" s="251">
        <f>'Monthly IS'!$O$11</f>
        <v>54282.168000000005</v>
      </c>
    </row>
    <row r="12" spans="1:11" ht="16" x14ac:dyDescent="0.2">
      <c r="A12" s="252" t="s">
        <v>262</v>
      </c>
      <c r="B12" s="251">
        <f>'Monthly IS'!$O$12</f>
        <v>29000</v>
      </c>
      <c r="C12" s="251">
        <f>'Monthly IS'!$O$12</f>
        <v>29000</v>
      </c>
      <c r="D12" s="251">
        <f>'Monthly IS'!$O$12</f>
        <v>29000</v>
      </c>
      <c r="E12" s="251">
        <f>'Monthly IS'!$O$12</f>
        <v>29000</v>
      </c>
      <c r="F12" s="251">
        <f>'Monthly IS'!$O$12</f>
        <v>29000</v>
      </c>
      <c r="G12" s="251">
        <f>'Monthly IS'!$O$12</f>
        <v>29000</v>
      </c>
      <c r="H12" s="251">
        <f>'Monthly IS'!$O$12</f>
        <v>29000</v>
      </c>
      <c r="I12" s="251">
        <f>'Monthly IS'!$O$12</f>
        <v>29000</v>
      </c>
      <c r="J12" s="251">
        <f>'Monthly IS'!$O$12</f>
        <v>29000</v>
      </c>
      <c r="K12" s="251">
        <f>'Monthly IS'!$O$12</f>
        <v>29000</v>
      </c>
    </row>
    <row r="13" spans="1:11" ht="19" x14ac:dyDescent="0.35">
      <c r="A13" s="253" t="s">
        <v>263</v>
      </c>
      <c r="B13" s="254">
        <f>SUM(B8:B12)</f>
        <v>210838.92800000001</v>
      </c>
      <c r="C13" s="254">
        <f t="shared" ref="C13:K13" si="4">SUM(C8:C12)</f>
        <v>210838.92800000001</v>
      </c>
      <c r="D13" s="254">
        <f t="shared" si="4"/>
        <v>210838.92800000001</v>
      </c>
      <c r="E13" s="254">
        <f t="shared" si="4"/>
        <v>210838.92800000001</v>
      </c>
      <c r="F13" s="254">
        <f t="shared" si="4"/>
        <v>210838.92800000001</v>
      </c>
      <c r="G13" s="254">
        <f t="shared" si="4"/>
        <v>210838.92800000001</v>
      </c>
      <c r="H13" s="254">
        <f t="shared" si="4"/>
        <v>210838.92800000001</v>
      </c>
      <c r="I13" s="254">
        <f t="shared" si="4"/>
        <v>210838.92800000001</v>
      </c>
      <c r="J13" s="254">
        <f t="shared" si="4"/>
        <v>210838.92800000001</v>
      </c>
      <c r="K13" s="254">
        <f t="shared" si="4"/>
        <v>210838.92800000001</v>
      </c>
    </row>
    <row r="14" spans="1:11" ht="16" x14ac:dyDescent="0.2">
      <c r="A14" s="256" t="s">
        <v>264</v>
      </c>
      <c r="B14" s="257">
        <f>B3-B6-B13</f>
        <v>-271758.03221415397</v>
      </c>
      <c r="C14" s="257">
        <f t="shared" ref="C14:K14" si="5">C3-C6-C13</f>
        <v>-193060.24497753818</v>
      </c>
      <c r="D14" s="257">
        <f t="shared" si="5"/>
        <v>-48358.27274092281</v>
      </c>
      <c r="E14" s="257">
        <f t="shared" si="5"/>
        <v>43033.116732308001</v>
      </c>
      <c r="F14" s="257">
        <f t="shared" si="5"/>
        <v>43033.116732308001</v>
      </c>
      <c r="G14" s="257">
        <f t="shared" si="5"/>
        <v>43033.116732308001</v>
      </c>
      <c r="H14" s="257">
        <f t="shared" si="5"/>
        <v>43033.116732308001</v>
      </c>
      <c r="I14" s="257">
        <f t="shared" si="5"/>
        <v>43033.116732308001</v>
      </c>
      <c r="J14" s="257">
        <f t="shared" si="5"/>
        <v>43033.116732308001</v>
      </c>
      <c r="K14" s="257">
        <f t="shared" si="5"/>
        <v>43033.116732308001</v>
      </c>
    </row>
    <row r="15" spans="1:11" ht="16" x14ac:dyDescent="0.2">
      <c r="A15" s="258" t="s">
        <v>265</v>
      </c>
      <c r="B15" s="251"/>
      <c r="C15" s="251"/>
      <c r="D15" s="251"/>
      <c r="E15" s="251"/>
      <c r="F15" s="251"/>
      <c r="G15" s="251"/>
      <c r="H15" s="251"/>
      <c r="I15" s="251"/>
      <c r="J15" s="251"/>
      <c r="K15" s="251"/>
    </row>
    <row r="16" spans="1:11" ht="16" x14ac:dyDescent="0.2">
      <c r="A16" s="252" t="s">
        <v>266</v>
      </c>
      <c r="B16" s="251">
        <f>'Monthly IS'!$O$16</f>
        <v>17999.999999999996</v>
      </c>
      <c r="C16" s="251">
        <f>'Monthly IS'!$O$16</f>
        <v>17999.999999999996</v>
      </c>
      <c r="D16" s="251">
        <f>'Monthly IS'!$O$16</f>
        <v>17999.999999999996</v>
      </c>
      <c r="E16" s="251">
        <f>'Monthly IS'!$O$16</f>
        <v>17999.999999999996</v>
      </c>
      <c r="F16" s="251">
        <f>'Monthly IS'!$O$16</f>
        <v>17999.999999999996</v>
      </c>
      <c r="G16" s="251">
        <f>'Monthly IS'!$O$16</f>
        <v>17999.999999999996</v>
      </c>
      <c r="H16" s="251">
        <f>'Monthly IS'!$O$16</f>
        <v>17999.999999999996</v>
      </c>
      <c r="I16" s="251">
        <f>'Monthly IS'!$O$16</f>
        <v>17999.999999999996</v>
      </c>
      <c r="J16" s="251">
        <f>'Monthly IS'!$O$16</f>
        <v>17999.999999999996</v>
      </c>
      <c r="K16" s="251">
        <f>'Monthly IS'!$O$16</f>
        <v>17999.999999999996</v>
      </c>
    </row>
    <row r="17" spans="1:13" ht="19" x14ac:dyDescent="0.35">
      <c r="A17" s="252" t="s">
        <v>267</v>
      </c>
      <c r="B17" s="254">
        <f>'Monthly IS'!$O$17</f>
        <v>49853.997999999985</v>
      </c>
      <c r="C17" s="254">
        <f>'Monthly IS'!$O$17</f>
        <v>49853.997999999985</v>
      </c>
      <c r="D17" s="254">
        <f>'Monthly IS'!$O$17</f>
        <v>49853.997999999985</v>
      </c>
      <c r="E17" s="254">
        <f>'Monthly IS'!$O$17</f>
        <v>49853.997999999985</v>
      </c>
      <c r="F17" s="254">
        <f>'Monthly IS'!$O$17</f>
        <v>49853.997999999985</v>
      </c>
      <c r="G17" s="254">
        <v>0</v>
      </c>
      <c r="H17" s="254">
        <v>0</v>
      </c>
      <c r="I17" s="254">
        <v>0</v>
      </c>
      <c r="J17" s="254">
        <v>0</v>
      </c>
      <c r="K17" s="254">
        <v>0</v>
      </c>
    </row>
    <row r="18" spans="1:13" ht="16" x14ac:dyDescent="0.2">
      <c r="A18" s="253" t="s">
        <v>268</v>
      </c>
      <c r="B18" s="247">
        <f>SUM(B16:B17)</f>
        <v>67853.997999999978</v>
      </c>
      <c r="C18" s="247">
        <f t="shared" ref="C18:K18" si="6">SUM(C16:C17)</f>
        <v>67853.997999999978</v>
      </c>
      <c r="D18" s="247">
        <f t="shared" si="6"/>
        <v>67853.997999999978</v>
      </c>
      <c r="E18" s="247">
        <f t="shared" si="6"/>
        <v>67853.997999999978</v>
      </c>
      <c r="F18" s="247">
        <f t="shared" si="6"/>
        <v>67853.997999999978</v>
      </c>
      <c r="G18" s="247">
        <f t="shared" si="6"/>
        <v>17999.999999999996</v>
      </c>
      <c r="H18" s="247">
        <f t="shared" si="6"/>
        <v>17999.999999999996</v>
      </c>
      <c r="I18" s="247">
        <f t="shared" si="6"/>
        <v>17999.999999999996</v>
      </c>
      <c r="J18" s="247">
        <f t="shared" si="6"/>
        <v>17999.999999999996</v>
      </c>
      <c r="K18" s="247">
        <f t="shared" si="6"/>
        <v>17999.999999999996</v>
      </c>
    </row>
    <row r="19" spans="1:13" ht="16" x14ac:dyDescent="0.2">
      <c r="A19" s="256" t="s">
        <v>269</v>
      </c>
      <c r="B19" s="257">
        <f>B14-B18</f>
        <v>-339612.03021415393</v>
      </c>
      <c r="C19" s="257">
        <f t="shared" ref="C19:K19" si="7">C14-C18</f>
        <v>-260914.24297753815</v>
      </c>
      <c r="D19" s="257">
        <f t="shared" si="7"/>
        <v>-116212.27074092279</v>
      </c>
      <c r="E19" s="257">
        <f t="shared" si="7"/>
        <v>-24820.881267691977</v>
      </c>
      <c r="F19" s="257">
        <f t="shared" si="7"/>
        <v>-24820.881267691977</v>
      </c>
      <c r="G19" s="257">
        <f t="shared" si="7"/>
        <v>25033.116732308004</v>
      </c>
      <c r="H19" s="257">
        <f t="shared" si="7"/>
        <v>25033.116732308004</v>
      </c>
      <c r="I19" s="257">
        <f t="shared" si="7"/>
        <v>25033.116732308004</v>
      </c>
      <c r="J19" s="257">
        <f t="shared" si="7"/>
        <v>25033.116732308004</v>
      </c>
      <c r="K19" s="257">
        <f t="shared" si="7"/>
        <v>25033.116732308004</v>
      </c>
    </row>
    <row r="20" spans="1:13" ht="16" x14ac:dyDescent="0.2">
      <c r="A20" s="258" t="s">
        <v>270</v>
      </c>
      <c r="B20" s="259">
        <f>'Loan Amortization'!D7</f>
        <v>16576.454335000006</v>
      </c>
      <c r="C20" s="259">
        <f>'Loan Amortization'!D8</f>
        <v>15511.149406660528</v>
      </c>
      <c r="D20" s="259">
        <f>'Loan Amortization'!D9</f>
        <v>14344.640510128798</v>
      </c>
      <c r="E20" s="259">
        <f>'Loan Amortization'!D10</f>
        <v>13067.313268426555</v>
      </c>
      <c r="F20" s="259">
        <f>'Loan Amortization'!D11</f>
        <v>11668.639938762597</v>
      </c>
      <c r="G20" s="259">
        <f>'Loan Amortization'!D12</f>
        <v>10137.092642780564</v>
      </c>
      <c r="H20" s="259">
        <f>'Loan Amortization'!D13</f>
        <v>8460.0483536802403</v>
      </c>
      <c r="I20" s="259">
        <f>'Loan Amortization'!D14</f>
        <v>6623.6848571153841</v>
      </c>
      <c r="J20" s="259">
        <f>'Loan Amortization'!D15</f>
        <v>4612.8668283768666</v>
      </c>
      <c r="K20" s="259">
        <f>'Loan Amortization'!D16</f>
        <v>2411.0210869081907</v>
      </c>
    </row>
    <row r="21" spans="1:13" ht="16" x14ac:dyDescent="0.2">
      <c r="A21" s="260" t="s">
        <v>271</v>
      </c>
      <c r="B21" s="257">
        <f>B19-B20</f>
        <v>-356188.48454915395</v>
      </c>
      <c r="C21" s="257">
        <f t="shared" ref="C21:K21" si="8">C19-C20</f>
        <v>-276425.39238419867</v>
      </c>
      <c r="D21" s="257">
        <f t="shared" si="8"/>
        <v>-130556.91125105158</v>
      </c>
      <c r="E21" s="257">
        <f t="shared" si="8"/>
        <v>-37888.194536118535</v>
      </c>
      <c r="F21" s="257">
        <f t="shared" si="8"/>
        <v>-36489.521206454578</v>
      </c>
      <c r="G21" s="257">
        <f t="shared" si="8"/>
        <v>14896.02408952744</v>
      </c>
      <c r="H21" s="257">
        <f t="shared" si="8"/>
        <v>16573.068378627766</v>
      </c>
      <c r="I21" s="257">
        <f t="shared" si="8"/>
        <v>18409.431875192618</v>
      </c>
      <c r="J21" s="257">
        <f t="shared" si="8"/>
        <v>20420.249903931137</v>
      </c>
      <c r="K21" s="257">
        <f t="shared" si="8"/>
        <v>22622.095645399815</v>
      </c>
    </row>
    <row r="22" spans="1:13" ht="16" x14ac:dyDescent="0.2">
      <c r="A22" s="261" t="s">
        <v>283</v>
      </c>
      <c r="B22" s="247">
        <f t="shared" ref="B22:K22" si="9">B21*0.3</f>
        <v>-106856.54536474618</v>
      </c>
      <c r="C22" s="247">
        <f t="shared" si="9"/>
        <v>-82927.617715259592</v>
      </c>
      <c r="D22" s="247">
        <f t="shared" si="9"/>
        <v>-39167.073375315471</v>
      </c>
      <c r="E22" s="247">
        <f t="shared" si="9"/>
        <v>-11366.458360835561</v>
      </c>
      <c r="F22" s="247">
        <f t="shared" si="9"/>
        <v>-10946.856361936372</v>
      </c>
      <c r="G22" s="247">
        <f t="shared" si="9"/>
        <v>4468.8072268582318</v>
      </c>
      <c r="H22" s="247">
        <f t="shared" si="9"/>
        <v>4971.9205135883294</v>
      </c>
      <c r="I22" s="247">
        <f t="shared" si="9"/>
        <v>5522.8295625577857</v>
      </c>
      <c r="J22" s="247">
        <f t="shared" si="9"/>
        <v>6126.0749711793405</v>
      </c>
      <c r="K22" s="247">
        <f t="shared" si="9"/>
        <v>6786.628693619944</v>
      </c>
    </row>
    <row r="23" spans="1:13" ht="16" x14ac:dyDescent="0.2">
      <c r="A23" s="260" t="s">
        <v>284</v>
      </c>
      <c r="B23" s="257">
        <f>B21-B22</f>
        <v>-249331.93918440776</v>
      </c>
      <c r="C23" s="257">
        <f t="shared" ref="C23:D23" si="10">C21-C22</f>
        <v>-193497.77466893906</v>
      </c>
      <c r="D23" s="257">
        <f t="shared" si="10"/>
        <v>-91389.837875736121</v>
      </c>
      <c r="E23" s="257">
        <f>E21-E22</f>
        <v>-26521.736175282975</v>
      </c>
      <c r="F23" s="257">
        <f t="shared" ref="F23:K23" si="11">F21-F22</f>
        <v>-25542.664844518207</v>
      </c>
      <c r="G23" s="257">
        <f t="shared" si="11"/>
        <v>10427.216862669207</v>
      </c>
      <c r="H23" s="257">
        <f t="shared" si="11"/>
        <v>11601.147865039437</v>
      </c>
      <c r="I23" s="257">
        <f t="shared" si="11"/>
        <v>12886.602312634834</v>
      </c>
      <c r="J23" s="257">
        <f t="shared" si="11"/>
        <v>14294.174932751797</v>
      </c>
      <c r="K23" s="257">
        <f t="shared" si="11"/>
        <v>15835.466951779872</v>
      </c>
    </row>
    <row r="24" spans="1:13" ht="16" x14ac:dyDescent="0.2">
      <c r="M24" s="68"/>
    </row>
    <row r="25" spans="1:13" ht="16" x14ac:dyDescent="0.2">
      <c r="D25" s="56"/>
      <c r="E25" s="56"/>
      <c r="F25" s="56"/>
      <c r="G25" s="56"/>
      <c r="H25" s="56"/>
      <c r="I25" s="56"/>
      <c r="J25" s="56"/>
      <c r="K25" s="56"/>
      <c r="L25" s="56"/>
      <c r="M25" s="68"/>
    </row>
  </sheetData>
  <pageMargins left="0.7" right="0.7" top="0.75" bottom="0.75" header="0.3" footer="0.3"/>
  <pageSetup orientation="portrait" horizontalDpi="0" verticalDpi="0"/>
  <ignoredErrors>
    <ignoredError sqref="B22:K2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6"/>
  <sheetViews>
    <sheetView zoomScale="125" zoomScaleNormal="110" zoomScalePageLayoutView="160" workbookViewId="0">
      <selection activeCell="D2" sqref="D2"/>
    </sheetView>
  </sheetViews>
  <sheetFormatPr baseColWidth="10" defaultColWidth="8.83203125" defaultRowHeight="14" x14ac:dyDescent="0.15"/>
  <cols>
    <col min="1" max="1" width="9.1640625" style="25" customWidth="1"/>
    <col min="2" max="2" width="22.33203125" style="25" bestFit="1" customWidth="1"/>
    <col min="3" max="3" width="10.33203125" style="25" customWidth="1"/>
    <col min="4" max="4" width="16.1640625" style="25" customWidth="1"/>
    <col min="5" max="6" width="17.5" style="25" customWidth="1"/>
    <col min="7" max="7" width="12.1640625" style="25" bestFit="1" customWidth="1"/>
    <col min="8" max="16384" width="8.83203125" style="25"/>
  </cols>
  <sheetData>
    <row r="1" spans="1:7" x14ac:dyDescent="0.15">
      <c r="A1" s="367" t="s">
        <v>285</v>
      </c>
      <c r="B1" s="367"/>
      <c r="C1" s="367"/>
      <c r="D1" s="367"/>
      <c r="E1" s="367"/>
      <c r="F1" s="367"/>
    </row>
    <row r="2" spans="1:7" ht="42" x14ac:dyDescent="0.15">
      <c r="A2" s="69" t="s">
        <v>286</v>
      </c>
      <c r="B2" s="70">
        <f>Preopening!C48</f>
        <v>174488.99300000007</v>
      </c>
      <c r="C2" s="71" t="s">
        <v>287</v>
      </c>
      <c r="D2" s="72">
        <v>9.5000000000000001E-2</v>
      </c>
      <c r="E2" s="73" t="s">
        <v>288</v>
      </c>
      <c r="F2" s="74">
        <v>10</v>
      </c>
    </row>
    <row r="3" spans="1:7" ht="23" x14ac:dyDescent="0.15">
      <c r="A3" s="75" t="s">
        <v>289</v>
      </c>
      <c r="B3" s="76">
        <f>PMT(D2,F2,B2)</f>
        <v>-27790.190422783988</v>
      </c>
      <c r="C3" s="368" t="s">
        <v>290</v>
      </c>
      <c r="D3" s="369"/>
      <c r="E3" s="370"/>
      <c r="F3" s="300">
        <f>IFERROR(B2/B3,0)</f>
        <v>-6.2787980343216363</v>
      </c>
      <c r="G3" s="55" t="s">
        <v>291</v>
      </c>
    </row>
    <row r="4" spans="1:7" x14ac:dyDescent="0.15">
      <c r="A4" s="77"/>
      <c r="B4" s="77"/>
      <c r="C4" s="77"/>
      <c r="D4" s="77"/>
      <c r="E4" s="77"/>
      <c r="F4" s="77"/>
    </row>
    <row r="5" spans="1:7" ht="28" x14ac:dyDescent="0.15">
      <c r="A5" s="78" t="s">
        <v>292</v>
      </c>
      <c r="B5" s="79" t="s">
        <v>289</v>
      </c>
      <c r="C5" s="79" t="s">
        <v>293</v>
      </c>
      <c r="D5" s="79" t="s">
        <v>294</v>
      </c>
      <c r="E5" s="79" t="s">
        <v>295</v>
      </c>
      <c r="F5" s="79" t="s">
        <v>296</v>
      </c>
      <c r="G5" s="80"/>
    </row>
    <row r="6" spans="1:7" ht="16" x14ac:dyDescent="0.2">
      <c r="A6" s="328">
        <v>0</v>
      </c>
      <c r="B6" s="117"/>
      <c r="C6" s="117"/>
      <c r="D6" s="117"/>
      <c r="E6" s="117"/>
      <c r="F6" s="117">
        <f>B2</f>
        <v>174488.99300000007</v>
      </c>
      <c r="G6" s="80"/>
    </row>
    <row r="7" spans="1:7" ht="16" x14ac:dyDescent="0.2">
      <c r="A7" s="328">
        <f>A6+1</f>
        <v>1</v>
      </c>
      <c r="B7" s="117">
        <f>-B3</f>
        <v>27790.190422783988</v>
      </c>
      <c r="C7" s="118">
        <f>$D$2</f>
        <v>9.5000000000000001E-2</v>
      </c>
      <c r="D7" s="117">
        <f>C7*F6</f>
        <v>16576.454335000006</v>
      </c>
      <c r="E7" s="117">
        <f>B7-D7</f>
        <v>11213.736087783982</v>
      </c>
      <c r="F7" s="117">
        <f>F6-E7</f>
        <v>163275.25691221608</v>
      </c>
      <c r="G7" s="80"/>
    </row>
    <row r="8" spans="1:7" ht="16" x14ac:dyDescent="0.2">
      <c r="A8" s="328">
        <f>A7+1</f>
        <v>2</v>
      </c>
      <c r="B8" s="117">
        <f>$B$7</f>
        <v>27790.190422783988</v>
      </c>
      <c r="C8" s="118">
        <f t="shared" ref="C8:C16" si="0">$D$2</f>
        <v>9.5000000000000001E-2</v>
      </c>
      <c r="D8" s="117">
        <f t="shared" ref="D8:D16" si="1">C8*F7</f>
        <v>15511.149406660528</v>
      </c>
      <c r="E8" s="117">
        <f t="shared" ref="E8:E17" si="2">B8-D8</f>
        <v>12279.041016123459</v>
      </c>
      <c r="F8" s="117">
        <f t="shared" ref="F8:F16" si="3">F7-E8</f>
        <v>150996.21589609262</v>
      </c>
      <c r="G8" s="80"/>
    </row>
    <row r="9" spans="1:7" ht="16" x14ac:dyDescent="0.2">
      <c r="A9" s="328">
        <f t="shared" ref="A9:A16" si="4">A8+1</f>
        <v>3</v>
      </c>
      <c r="B9" s="117">
        <f t="shared" ref="B9:B16" si="5">$B$7</f>
        <v>27790.190422783988</v>
      </c>
      <c r="C9" s="118">
        <f t="shared" si="0"/>
        <v>9.5000000000000001E-2</v>
      </c>
      <c r="D9" s="117">
        <f t="shared" si="1"/>
        <v>14344.640510128798</v>
      </c>
      <c r="E9" s="117">
        <f t="shared" si="2"/>
        <v>13445.549912655189</v>
      </c>
      <c r="F9" s="117">
        <f t="shared" si="3"/>
        <v>137550.66598343741</v>
      </c>
      <c r="G9" s="80"/>
    </row>
    <row r="10" spans="1:7" ht="16" x14ac:dyDescent="0.2">
      <c r="A10" s="328">
        <f t="shared" si="4"/>
        <v>4</v>
      </c>
      <c r="B10" s="117">
        <f t="shared" si="5"/>
        <v>27790.190422783988</v>
      </c>
      <c r="C10" s="118">
        <f t="shared" si="0"/>
        <v>9.5000000000000001E-2</v>
      </c>
      <c r="D10" s="117">
        <f t="shared" si="1"/>
        <v>13067.313268426555</v>
      </c>
      <c r="E10" s="117">
        <f t="shared" si="2"/>
        <v>14722.877154357433</v>
      </c>
      <c r="F10" s="117">
        <f t="shared" si="3"/>
        <v>122827.78882907997</v>
      </c>
      <c r="G10" s="80"/>
    </row>
    <row r="11" spans="1:7" ht="16" x14ac:dyDescent="0.2">
      <c r="A11" s="328">
        <f t="shared" si="4"/>
        <v>5</v>
      </c>
      <c r="B11" s="117">
        <f t="shared" si="5"/>
        <v>27790.190422783988</v>
      </c>
      <c r="C11" s="118">
        <f t="shared" si="0"/>
        <v>9.5000000000000001E-2</v>
      </c>
      <c r="D11" s="117">
        <f t="shared" si="1"/>
        <v>11668.639938762597</v>
      </c>
      <c r="E11" s="117">
        <f t="shared" si="2"/>
        <v>16121.550484021391</v>
      </c>
      <c r="F11" s="117">
        <f t="shared" si="3"/>
        <v>106706.23834505858</v>
      </c>
      <c r="G11" s="80"/>
    </row>
    <row r="12" spans="1:7" ht="16" x14ac:dyDescent="0.2">
      <c r="A12" s="328">
        <f t="shared" si="4"/>
        <v>6</v>
      </c>
      <c r="B12" s="117">
        <f t="shared" si="5"/>
        <v>27790.190422783988</v>
      </c>
      <c r="C12" s="118">
        <f t="shared" si="0"/>
        <v>9.5000000000000001E-2</v>
      </c>
      <c r="D12" s="117">
        <f t="shared" si="1"/>
        <v>10137.092642780564</v>
      </c>
      <c r="E12" s="117">
        <f t="shared" si="2"/>
        <v>17653.097780003423</v>
      </c>
      <c r="F12" s="117">
        <f t="shared" si="3"/>
        <v>89053.140565055161</v>
      </c>
      <c r="G12" s="80"/>
    </row>
    <row r="13" spans="1:7" ht="16" x14ac:dyDescent="0.2">
      <c r="A13" s="328">
        <f t="shared" si="4"/>
        <v>7</v>
      </c>
      <c r="B13" s="117">
        <f t="shared" si="5"/>
        <v>27790.190422783988</v>
      </c>
      <c r="C13" s="118">
        <f t="shared" si="0"/>
        <v>9.5000000000000001E-2</v>
      </c>
      <c r="D13" s="117">
        <f t="shared" si="1"/>
        <v>8460.0483536802403</v>
      </c>
      <c r="E13" s="117">
        <f t="shared" si="2"/>
        <v>19330.142069103749</v>
      </c>
      <c r="F13" s="117">
        <f t="shared" si="3"/>
        <v>69722.998495951411</v>
      </c>
      <c r="G13" s="80"/>
    </row>
    <row r="14" spans="1:7" ht="16" x14ac:dyDescent="0.2">
      <c r="A14" s="328">
        <f t="shared" si="4"/>
        <v>8</v>
      </c>
      <c r="B14" s="117">
        <f t="shared" si="5"/>
        <v>27790.190422783988</v>
      </c>
      <c r="C14" s="118">
        <f t="shared" si="0"/>
        <v>9.5000000000000001E-2</v>
      </c>
      <c r="D14" s="117">
        <f t="shared" si="1"/>
        <v>6623.6848571153841</v>
      </c>
      <c r="E14" s="117">
        <f t="shared" si="2"/>
        <v>21166.505565668602</v>
      </c>
      <c r="F14" s="117">
        <f t="shared" si="3"/>
        <v>48556.49293028281</v>
      </c>
      <c r="G14" s="80"/>
    </row>
    <row r="15" spans="1:7" ht="16" x14ac:dyDescent="0.2">
      <c r="A15" s="328">
        <f t="shared" si="4"/>
        <v>9</v>
      </c>
      <c r="B15" s="117">
        <f t="shared" si="5"/>
        <v>27790.190422783988</v>
      </c>
      <c r="C15" s="118">
        <f t="shared" si="0"/>
        <v>9.5000000000000001E-2</v>
      </c>
      <c r="D15" s="117">
        <f t="shared" si="1"/>
        <v>4612.8668283768666</v>
      </c>
      <c r="E15" s="117">
        <f t="shared" si="2"/>
        <v>23177.32359440712</v>
      </c>
      <c r="F15" s="117">
        <f t="shared" si="3"/>
        <v>25379.169335875689</v>
      </c>
      <c r="G15" s="80"/>
    </row>
    <row r="16" spans="1:7" ht="16" x14ac:dyDescent="0.2">
      <c r="A16" s="328">
        <f t="shared" si="4"/>
        <v>10</v>
      </c>
      <c r="B16" s="117">
        <f t="shared" si="5"/>
        <v>27790.190422783988</v>
      </c>
      <c r="C16" s="118">
        <f t="shared" si="0"/>
        <v>9.5000000000000001E-2</v>
      </c>
      <c r="D16" s="117">
        <f t="shared" si="1"/>
        <v>2411.0210869081907</v>
      </c>
      <c r="E16" s="117">
        <f t="shared" si="2"/>
        <v>25379.169335875798</v>
      </c>
      <c r="F16" s="117">
        <f t="shared" si="3"/>
        <v>-1.0913936421275139E-10</v>
      </c>
      <c r="G16" s="80"/>
    </row>
    <row r="17" spans="1:7" ht="20" x14ac:dyDescent="0.2">
      <c r="A17" s="82" t="s">
        <v>80</v>
      </c>
      <c r="B17" s="83">
        <f>SUM(B7:B16)</f>
        <v>277901.9042278399</v>
      </c>
      <c r="C17" s="84"/>
      <c r="D17" s="83">
        <f>SUM(D7:D16)</f>
        <v>103412.91122783972</v>
      </c>
      <c r="E17" s="83">
        <f t="shared" si="2"/>
        <v>174488.99300000019</v>
      </c>
      <c r="F17" s="83"/>
      <c r="G17" s="80"/>
    </row>
    <row r="18" spans="1:7" x14ac:dyDescent="0.15">
      <c r="A18" s="85"/>
      <c r="B18" s="80"/>
      <c r="C18" s="86"/>
      <c r="D18" s="55"/>
      <c r="E18" s="55"/>
      <c r="F18" s="55"/>
    </row>
    <row r="19" spans="1:7" x14ac:dyDescent="0.15">
      <c r="A19" s="85"/>
      <c r="B19" s="55"/>
      <c r="C19" s="39"/>
      <c r="D19" s="55"/>
      <c r="E19" s="55"/>
      <c r="F19" s="55"/>
    </row>
    <row r="20" spans="1:7" x14ac:dyDescent="0.15">
      <c r="A20" s="58"/>
      <c r="B20" s="55"/>
      <c r="C20" s="39"/>
      <c r="D20" s="55"/>
      <c r="E20" s="55"/>
      <c r="F20" s="55"/>
    </row>
    <row r="21" spans="1:7" x14ac:dyDescent="0.15">
      <c r="A21" s="58"/>
      <c r="B21" s="55"/>
      <c r="C21" s="39"/>
      <c r="D21" s="55"/>
      <c r="E21" s="55"/>
      <c r="F21" s="55"/>
    </row>
    <row r="22" spans="1:7" x14ac:dyDescent="0.15">
      <c r="A22" s="58"/>
      <c r="B22" s="55"/>
      <c r="C22" s="39"/>
      <c r="D22" s="55"/>
      <c r="E22" s="55"/>
      <c r="F22" s="55"/>
    </row>
    <row r="23" spans="1:7" x14ac:dyDescent="0.15">
      <c r="A23" s="58"/>
      <c r="B23" s="55"/>
      <c r="C23" s="39"/>
      <c r="D23" s="55"/>
      <c r="E23" s="55"/>
      <c r="F23" s="55"/>
    </row>
    <row r="24" spans="1:7" x14ac:dyDescent="0.15">
      <c r="A24" s="58"/>
      <c r="B24" s="55"/>
      <c r="C24" s="39"/>
      <c r="D24" s="55"/>
      <c r="E24" s="55"/>
      <c r="F24" s="55"/>
    </row>
    <row r="25" spans="1:7" x14ac:dyDescent="0.15">
      <c r="A25" s="58"/>
      <c r="B25" s="55"/>
      <c r="C25" s="39"/>
      <c r="D25" s="55"/>
      <c r="E25" s="55"/>
      <c r="F25" s="55"/>
    </row>
    <row r="26" spans="1:7" x14ac:dyDescent="0.15">
      <c r="A26" s="58"/>
      <c r="B26" s="55"/>
      <c r="C26" s="39"/>
      <c r="D26" s="55"/>
      <c r="E26" s="55"/>
      <c r="F26" s="55"/>
    </row>
    <row r="27" spans="1:7" x14ac:dyDescent="0.15">
      <c r="A27" s="58"/>
      <c r="B27" s="55"/>
      <c r="C27" s="39"/>
      <c r="D27" s="55"/>
      <c r="E27" s="55"/>
      <c r="F27" s="55"/>
    </row>
    <row r="28" spans="1:7" x14ac:dyDescent="0.15">
      <c r="A28" s="58"/>
      <c r="B28" s="55"/>
      <c r="C28" s="39"/>
      <c r="D28" s="55"/>
      <c r="E28" s="55"/>
      <c r="F28" s="55"/>
    </row>
    <row r="29" spans="1:7" x14ac:dyDescent="0.15">
      <c r="A29" s="58"/>
      <c r="B29" s="55"/>
      <c r="C29" s="39"/>
      <c r="D29" s="55"/>
      <c r="E29" s="55"/>
      <c r="F29" s="55"/>
    </row>
    <row r="30" spans="1:7" x14ac:dyDescent="0.15">
      <c r="A30" s="58"/>
      <c r="B30" s="55"/>
      <c r="C30" s="39"/>
      <c r="D30" s="55"/>
      <c r="E30" s="55"/>
      <c r="F30" s="55"/>
    </row>
    <row r="31" spans="1:7" x14ac:dyDescent="0.15">
      <c r="A31" s="58"/>
      <c r="B31" s="55"/>
      <c r="C31" s="39"/>
      <c r="D31" s="55"/>
      <c r="E31" s="55"/>
      <c r="F31" s="55"/>
    </row>
    <row r="32" spans="1:7" x14ac:dyDescent="0.15">
      <c r="A32" s="58"/>
      <c r="B32" s="55"/>
      <c r="C32" s="39"/>
      <c r="D32" s="55"/>
      <c r="E32" s="55"/>
      <c r="F32" s="55"/>
    </row>
    <row r="33" spans="1:6" x14ac:dyDescent="0.15">
      <c r="A33" s="58"/>
      <c r="B33" s="55"/>
      <c r="C33" s="39"/>
      <c r="D33" s="55"/>
      <c r="E33" s="55"/>
      <c r="F33" s="55"/>
    </row>
    <row r="34" spans="1:6" x14ac:dyDescent="0.15">
      <c r="A34" s="58"/>
      <c r="B34" s="55"/>
      <c r="C34" s="39"/>
      <c r="D34" s="55"/>
      <c r="E34" s="55"/>
      <c r="F34" s="55"/>
    </row>
    <row r="35" spans="1:6" x14ac:dyDescent="0.15">
      <c r="A35" s="58"/>
      <c r="B35" s="55"/>
      <c r="C35" s="39"/>
      <c r="D35" s="55"/>
      <c r="E35" s="55"/>
      <c r="F35" s="55"/>
    </row>
    <row r="36" spans="1:6" x14ac:dyDescent="0.15">
      <c r="A36" s="58"/>
      <c r="B36" s="55"/>
      <c r="C36" s="39"/>
      <c r="D36" s="55"/>
      <c r="E36" s="55"/>
      <c r="F36" s="55"/>
    </row>
  </sheetData>
  <mergeCells count="2">
    <mergeCell ref="A1:F1"/>
    <mergeCell ref="C3:E3"/>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38"/>
  <sheetViews>
    <sheetView zoomScale="145" zoomScaleNormal="145" zoomScalePageLayoutView="145" workbookViewId="0">
      <selection activeCell="F36" sqref="F36"/>
    </sheetView>
  </sheetViews>
  <sheetFormatPr baseColWidth="10" defaultColWidth="8.83203125" defaultRowHeight="13" x14ac:dyDescent="0.15"/>
  <cols>
    <col min="1" max="1" width="9.83203125" style="18" customWidth="1"/>
    <col min="2" max="2" width="13.6640625" style="18" customWidth="1"/>
    <col min="3" max="4" width="3.5" style="18" customWidth="1"/>
    <col min="5" max="5" width="9.33203125" style="18" customWidth="1"/>
    <col min="6" max="6" width="8.5" style="18" customWidth="1"/>
    <col min="7" max="7" width="13.5" style="18" customWidth="1"/>
    <col min="8" max="8" width="3.5" style="18" customWidth="1"/>
    <col min="9" max="9" width="3.33203125" style="18" customWidth="1"/>
    <col min="10" max="10" width="9.83203125" style="18" customWidth="1"/>
    <col min="11" max="11" width="7.5" style="18" customWidth="1"/>
    <col min="12" max="12" width="13" style="18" customWidth="1"/>
    <col min="13" max="13" width="3" style="18" customWidth="1"/>
    <col min="14" max="14" width="3.33203125" style="18" customWidth="1"/>
    <col min="15" max="15" width="9.83203125" style="18" customWidth="1"/>
    <col min="16" max="16" width="9.5" style="18" customWidth="1"/>
    <col min="17" max="17" width="13.6640625" style="18" customWidth="1"/>
    <col min="18" max="18" width="3.33203125" style="18" customWidth="1"/>
    <col min="19" max="19" width="3.5" style="18" customWidth="1"/>
    <col min="20" max="21" width="10.33203125" style="18" customWidth="1"/>
    <col min="22" max="22" width="11.6640625" style="18" customWidth="1"/>
    <col min="23" max="24" width="3.5" style="18" customWidth="1"/>
    <col min="25" max="25" width="10" style="18" customWidth="1"/>
    <col min="26" max="26" width="10.83203125" style="18" customWidth="1"/>
    <col min="27" max="27" width="11.6640625" style="18" customWidth="1"/>
    <col min="28" max="28" width="3.5" style="18" customWidth="1"/>
    <col min="29" max="29" width="3.6640625" style="18" customWidth="1"/>
    <col min="30" max="30" width="10.5" style="18" customWidth="1"/>
    <col min="31" max="31" width="10.33203125" style="18" customWidth="1"/>
    <col min="32" max="32" width="12" style="18" customWidth="1"/>
    <col min="33" max="33" width="3.33203125" style="18" customWidth="1"/>
    <col min="34" max="34" width="3.6640625" style="18" customWidth="1"/>
    <col min="35" max="36" width="10.5" style="18" customWidth="1"/>
    <col min="37" max="37" width="11.5" style="18" customWidth="1"/>
    <col min="38" max="38" width="3.5" style="18" customWidth="1"/>
    <col min="39" max="39" width="3" style="18" customWidth="1"/>
    <col min="40" max="40" width="10.33203125" style="18" customWidth="1"/>
    <col min="41" max="41" width="11" style="18" customWidth="1"/>
    <col min="42" max="42" width="11.83203125" style="18" customWidth="1"/>
    <col min="43" max="43" width="3.5" style="18" customWidth="1"/>
    <col min="44" max="44" width="3.6640625" style="18" customWidth="1"/>
    <col min="45" max="47" width="10.5" style="18" customWidth="1"/>
    <col min="48" max="48" width="3.5" style="18" customWidth="1"/>
    <col min="49" max="49" width="3.6640625" style="18" customWidth="1"/>
    <col min="50" max="51" width="9.33203125" style="18" customWidth="1"/>
    <col min="52" max="52" width="10.5" style="18" customWidth="1"/>
    <col min="53" max="54" width="3.6640625" style="18" customWidth="1"/>
    <col min="55" max="56" width="8.83203125" style="18" customWidth="1"/>
    <col min="57" max="57" width="8.83203125" style="18"/>
    <col min="58" max="58" width="3.5" style="18" customWidth="1"/>
    <col min="59" max="59" width="3" style="18" customWidth="1"/>
    <col min="60" max="61" width="9.1640625" style="18" customWidth="1"/>
    <col min="62" max="62" width="10.5" style="18" customWidth="1"/>
    <col min="63" max="16384" width="8.83203125" style="18"/>
  </cols>
  <sheetData>
    <row r="1" spans="1:62" x14ac:dyDescent="0.15">
      <c r="A1" s="388" t="s">
        <v>297</v>
      </c>
      <c r="B1" s="388"/>
      <c r="C1" s="383"/>
      <c r="D1" s="384"/>
      <c r="E1" s="384"/>
      <c r="F1" s="384"/>
      <c r="G1" s="385"/>
      <c r="H1" s="383"/>
      <c r="I1" s="384"/>
      <c r="J1" s="384"/>
      <c r="K1" s="384"/>
      <c r="L1" s="385"/>
      <c r="M1" s="383"/>
      <c r="N1" s="384"/>
      <c r="O1" s="384"/>
      <c r="P1" s="384"/>
      <c r="Q1" s="385"/>
      <c r="R1" s="383"/>
      <c r="S1" s="384"/>
      <c r="T1" s="384"/>
      <c r="U1" s="384"/>
      <c r="V1" s="385"/>
      <c r="W1" s="383"/>
      <c r="X1" s="384"/>
      <c r="Y1" s="384"/>
      <c r="Z1" s="384"/>
      <c r="AA1" s="385"/>
      <c r="AB1" s="383"/>
      <c r="AC1" s="384"/>
      <c r="AD1" s="384"/>
      <c r="AE1" s="384"/>
      <c r="AF1" s="385"/>
      <c r="AG1" s="383"/>
      <c r="AH1" s="384"/>
      <c r="AI1" s="384"/>
      <c r="AJ1" s="384"/>
      <c r="AK1" s="385"/>
      <c r="AL1" s="383"/>
      <c r="AM1" s="384"/>
      <c r="AN1" s="384"/>
      <c r="AO1" s="384"/>
      <c r="AP1" s="385"/>
      <c r="AQ1" s="383"/>
      <c r="AR1" s="384"/>
      <c r="AS1" s="384"/>
      <c r="AT1" s="384"/>
      <c r="AU1" s="385"/>
      <c r="AV1" s="383"/>
      <c r="AW1" s="384"/>
      <c r="AX1" s="384"/>
      <c r="AY1" s="384"/>
      <c r="AZ1" s="385"/>
      <c r="BA1" s="383"/>
      <c r="BB1" s="384"/>
      <c r="BC1" s="384"/>
      <c r="BD1" s="384"/>
      <c r="BE1" s="385"/>
      <c r="BF1" s="383"/>
      <c r="BG1" s="384"/>
      <c r="BH1" s="384"/>
      <c r="BI1" s="384"/>
      <c r="BJ1" s="385"/>
    </row>
    <row r="2" spans="1:62" x14ac:dyDescent="0.15">
      <c r="A2" s="1"/>
      <c r="B2" s="1"/>
      <c r="C2" s="381" t="s">
        <v>298</v>
      </c>
      <c r="D2" s="386"/>
      <c r="E2" s="386"/>
      <c r="F2" s="386"/>
      <c r="G2" s="387"/>
      <c r="H2" s="381" t="s">
        <v>299</v>
      </c>
      <c r="I2" s="382"/>
      <c r="J2" s="382"/>
      <c r="K2" s="382"/>
      <c r="L2" s="380"/>
      <c r="M2" s="381" t="s">
        <v>300</v>
      </c>
      <c r="N2" s="382"/>
      <c r="O2" s="382"/>
      <c r="P2" s="382"/>
      <c r="Q2" s="380"/>
      <c r="R2" s="381" t="s">
        <v>301</v>
      </c>
      <c r="S2" s="382"/>
      <c r="T2" s="382"/>
      <c r="U2" s="382"/>
      <c r="V2" s="380"/>
      <c r="W2" s="381" t="s">
        <v>302</v>
      </c>
      <c r="X2" s="382"/>
      <c r="Y2" s="382"/>
      <c r="Z2" s="382"/>
      <c r="AA2" s="380"/>
      <c r="AB2" s="381" t="s">
        <v>303</v>
      </c>
      <c r="AC2" s="382"/>
      <c r="AD2" s="382"/>
      <c r="AE2" s="382"/>
      <c r="AF2" s="380"/>
      <c r="AG2" s="381" t="s">
        <v>304</v>
      </c>
      <c r="AH2" s="382"/>
      <c r="AI2" s="382"/>
      <c r="AJ2" s="382"/>
      <c r="AK2" s="380"/>
      <c r="AL2" s="381" t="s">
        <v>305</v>
      </c>
      <c r="AM2" s="382"/>
      <c r="AN2" s="382"/>
      <c r="AO2" s="382"/>
      <c r="AP2" s="380"/>
      <c r="AQ2" s="381" t="s">
        <v>306</v>
      </c>
      <c r="AR2" s="382"/>
      <c r="AS2" s="382"/>
      <c r="AT2" s="382"/>
      <c r="AU2" s="380"/>
      <c r="AV2" s="381" t="s">
        <v>307</v>
      </c>
      <c r="AW2" s="382"/>
      <c r="AX2" s="382"/>
      <c r="AY2" s="382"/>
      <c r="AZ2" s="380"/>
      <c r="BA2" s="381" t="s">
        <v>308</v>
      </c>
      <c r="BB2" s="382"/>
      <c r="BC2" s="382"/>
      <c r="BD2" s="382"/>
      <c r="BE2" s="380"/>
      <c r="BF2" s="381" t="s">
        <v>309</v>
      </c>
      <c r="BG2" s="382"/>
      <c r="BH2" s="382"/>
      <c r="BI2" s="382"/>
      <c r="BJ2" s="380"/>
    </row>
    <row r="3" spans="1:62" x14ac:dyDescent="0.15">
      <c r="A3" s="379" t="s">
        <v>310</v>
      </c>
      <c r="B3" s="380"/>
      <c r="C3" s="379" t="s">
        <v>311</v>
      </c>
      <c r="D3" s="380"/>
      <c r="E3" s="2" t="s">
        <v>312</v>
      </c>
      <c r="F3" s="2" t="s">
        <v>313</v>
      </c>
      <c r="G3" s="2" t="s">
        <v>296</v>
      </c>
      <c r="H3" s="379" t="s">
        <v>314</v>
      </c>
      <c r="I3" s="380"/>
      <c r="J3" s="2" t="s">
        <v>312</v>
      </c>
      <c r="K3" s="2" t="s">
        <v>313</v>
      </c>
      <c r="L3" s="2" t="s">
        <v>296</v>
      </c>
      <c r="M3" s="379" t="s">
        <v>314</v>
      </c>
      <c r="N3" s="380"/>
      <c r="O3" s="2" t="s">
        <v>315</v>
      </c>
      <c r="P3" s="2" t="s">
        <v>313</v>
      </c>
      <c r="Q3" s="2" t="s">
        <v>296</v>
      </c>
      <c r="R3" s="379" t="s">
        <v>314</v>
      </c>
      <c r="S3" s="380"/>
      <c r="T3" s="2" t="s">
        <v>312</v>
      </c>
      <c r="U3" s="2" t="s">
        <v>313</v>
      </c>
      <c r="V3" s="2" t="s">
        <v>296</v>
      </c>
      <c r="W3" s="379" t="s">
        <v>314</v>
      </c>
      <c r="X3" s="380"/>
      <c r="Y3" s="2" t="s">
        <v>312</v>
      </c>
      <c r="Z3" s="2" t="s">
        <v>313</v>
      </c>
      <c r="AA3" s="2" t="s">
        <v>296</v>
      </c>
      <c r="AB3" s="379" t="s">
        <v>314</v>
      </c>
      <c r="AC3" s="380"/>
      <c r="AD3" s="2" t="s">
        <v>312</v>
      </c>
      <c r="AE3" s="2" t="s">
        <v>313</v>
      </c>
      <c r="AF3" s="2" t="s">
        <v>296</v>
      </c>
      <c r="AG3" s="379" t="s">
        <v>314</v>
      </c>
      <c r="AH3" s="380"/>
      <c r="AI3" s="2" t="s">
        <v>312</v>
      </c>
      <c r="AJ3" s="2" t="s">
        <v>313</v>
      </c>
      <c r="AK3" s="2" t="s">
        <v>296</v>
      </c>
      <c r="AL3" s="379" t="s">
        <v>314</v>
      </c>
      <c r="AM3" s="380"/>
      <c r="AN3" s="2" t="s">
        <v>312</v>
      </c>
      <c r="AO3" s="2" t="s">
        <v>313</v>
      </c>
      <c r="AP3" s="2" t="s">
        <v>296</v>
      </c>
      <c r="AQ3" s="379" t="s">
        <v>314</v>
      </c>
      <c r="AR3" s="380"/>
      <c r="AS3" s="2" t="s">
        <v>312</v>
      </c>
      <c r="AT3" s="2" t="s">
        <v>313</v>
      </c>
      <c r="AU3" s="2" t="s">
        <v>296</v>
      </c>
      <c r="AV3" s="379" t="s">
        <v>314</v>
      </c>
      <c r="AW3" s="380"/>
      <c r="AX3" s="2" t="s">
        <v>312</v>
      </c>
      <c r="AY3" s="2" t="s">
        <v>313</v>
      </c>
      <c r="AZ3" s="2" t="s">
        <v>296</v>
      </c>
      <c r="BA3" s="379" t="s">
        <v>314</v>
      </c>
      <c r="BB3" s="380"/>
      <c r="BC3" s="2" t="s">
        <v>312</v>
      </c>
      <c r="BD3" s="2" t="s">
        <v>313</v>
      </c>
      <c r="BE3" s="2" t="s">
        <v>296</v>
      </c>
      <c r="BF3" s="379" t="s">
        <v>314</v>
      </c>
      <c r="BG3" s="380"/>
      <c r="BH3" s="2" t="s">
        <v>312</v>
      </c>
      <c r="BI3" s="2" t="s">
        <v>313</v>
      </c>
      <c r="BJ3" s="2" t="s">
        <v>296</v>
      </c>
    </row>
    <row r="4" spans="1:62" x14ac:dyDescent="0.15">
      <c r="A4" s="3" t="s">
        <v>316</v>
      </c>
      <c r="B4" s="3" t="s">
        <v>317</v>
      </c>
      <c r="C4" s="4"/>
      <c r="D4" s="3"/>
      <c r="E4" s="377" t="s">
        <v>318</v>
      </c>
      <c r="F4" s="378"/>
      <c r="G4" s="5">
        <v>20000</v>
      </c>
      <c r="H4" s="4"/>
      <c r="I4" s="3"/>
      <c r="J4" s="377" t="s">
        <v>319</v>
      </c>
      <c r="K4" s="378"/>
      <c r="L4" s="5" t="e">
        <f>G36</f>
        <v>#REF!</v>
      </c>
      <c r="M4" s="4"/>
      <c r="N4" s="3"/>
      <c r="O4" s="377" t="s">
        <v>319</v>
      </c>
      <c r="P4" s="378"/>
      <c r="Q4" s="5" t="e">
        <f>L36</f>
        <v>#REF!</v>
      </c>
      <c r="R4" s="4"/>
      <c r="S4" s="3"/>
      <c r="T4" s="377" t="s">
        <v>319</v>
      </c>
      <c r="U4" s="378"/>
      <c r="V4" s="5" t="e">
        <f>Q36</f>
        <v>#REF!</v>
      </c>
      <c r="W4" s="4"/>
      <c r="X4" s="3"/>
      <c r="Y4" s="377" t="s">
        <v>319</v>
      </c>
      <c r="Z4" s="378"/>
      <c r="AA4" s="5" t="e">
        <f>V36</f>
        <v>#REF!</v>
      </c>
      <c r="AB4" s="4"/>
      <c r="AC4" s="3"/>
      <c r="AD4" s="377" t="s">
        <v>319</v>
      </c>
      <c r="AE4" s="378"/>
      <c r="AF4" s="5" t="e">
        <f>AA36</f>
        <v>#REF!</v>
      </c>
      <c r="AG4" s="4"/>
      <c r="AH4" s="3"/>
      <c r="AI4" s="377" t="s">
        <v>319</v>
      </c>
      <c r="AJ4" s="378"/>
      <c r="AK4" s="5" t="e">
        <f>AF36</f>
        <v>#REF!</v>
      </c>
      <c r="AL4" s="4"/>
      <c r="AM4" s="3"/>
      <c r="AN4" s="377" t="s">
        <v>319</v>
      </c>
      <c r="AO4" s="378"/>
      <c r="AP4" s="5" t="e">
        <f>AK36</f>
        <v>#REF!</v>
      </c>
      <c r="AQ4" s="4"/>
      <c r="AR4" s="3"/>
      <c r="AS4" s="377" t="s">
        <v>319</v>
      </c>
      <c r="AT4" s="378"/>
      <c r="AU4" s="5" t="e">
        <f>AP36</f>
        <v>#REF!</v>
      </c>
      <c r="AV4" s="4"/>
      <c r="AW4" s="3"/>
      <c r="AX4" s="377" t="s">
        <v>319</v>
      </c>
      <c r="AY4" s="378"/>
      <c r="AZ4" s="5" t="e">
        <f>AU36</f>
        <v>#REF!</v>
      </c>
      <c r="BA4" s="4"/>
      <c r="BB4" s="3"/>
      <c r="BC4" s="377" t="s">
        <v>319</v>
      </c>
      <c r="BD4" s="378"/>
      <c r="BE4" s="5" t="e">
        <f>AZ36</f>
        <v>#REF!</v>
      </c>
      <c r="BF4" s="4"/>
      <c r="BG4" s="3"/>
      <c r="BH4" s="377" t="s">
        <v>319</v>
      </c>
      <c r="BI4" s="378"/>
      <c r="BJ4" s="5" t="e">
        <f>BE36</f>
        <v>#REF!</v>
      </c>
    </row>
    <row r="5" spans="1:62" x14ac:dyDescent="0.15">
      <c r="A5" s="6" t="s">
        <v>320</v>
      </c>
      <c r="B5" s="7" t="s">
        <v>321</v>
      </c>
      <c r="C5" s="374" t="s">
        <v>322</v>
      </c>
      <c r="D5" s="19">
        <v>1</v>
      </c>
      <c r="E5" s="8">
        <f>'Hourly Customer'!$D$29</f>
        <v>0</v>
      </c>
      <c r="F5" s="9" t="e">
        <f>'Monthly IS'!#REF!</f>
        <v>#REF!</v>
      </c>
      <c r="G5" s="20" t="e">
        <f>G4+E5-F5</f>
        <v>#REF!</v>
      </c>
      <c r="H5" s="371" t="s">
        <v>322</v>
      </c>
      <c r="I5" s="19">
        <v>1</v>
      </c>
      <c r="J5" s="8">
        <f>'Hourly Customer'!$D$29</f>
        <v>0</v>
      </c>
      <c r="K5" s="9" t="e">
        <f>'Monthly IS'!#REF!</f>
        <v>#REF!</v>
      </c>
      <c r="L5" s="20" t="e">
        <f>L4+J5-K5</f>
        <v>#REF!</v>
      </c>
      <c r="M5" s="371" t="s">
        <v>322</v>
      </c>
      <c r="N5" s="19">
        <v>1</v>
      </c>
      <c r="O5" s="8">
        <f>'Hourly Customer'!$D$29</f>
        <v>0</v>
      </c>
      <c r="P5" s="9" t="e">
        <f>'Monthly IS'!#REF!</f>
        <v>#REF!</v>
      </c>
      <c r="Q5" s="20" t="e">
        <f>Q4+O5-P5</f>
        <v>#REF!</v>
      </c>
      <c r="R5" s="371" t="s">
        <v>322</v>
      </c>
      <c r="S5" s="19">
        <v>1</v>
      </c>
      <c r="T5" s="8">
        <f>'Hourly Customer'!$D$29</f>
        <v>0</v>
      </c>
      <c r="U5" s="9" t="e">
        <f>'Monthly IS'!#REF!</f>
        <v>#REF!</v>
      </c>
      <c r="V5" s="20" t="e">
        <f>V4+T5-U5</f>
        <v>#REF!</v>
      </c>
      <c r="W5" s="371" t="s">
        <v>322</v>
      </c>
      <c r="X5" s="19">
        <v>1</v>
      </c>
      <c r="Y5" s="8">
        <f>'Hourly Customer'!$D$29</f>
        <v>0</v>
      </c>
      <c r="Z5" s="9" t="e">
        <f>'Monthly IS'!#REF!</f>
        <v>#REF!</v>
      </c>
      <c r="AA5" s="20" t="e">
        <f>AA4+Y5-Z5</f>
        <v>#REF!</v>
      </c>
      <c r="AB5" s="371" t="s">
        <v>322</v>
      </c>
      <c r="AC5" s="19">
        <v>1</v>
      </c>
      <c r="AD5" s="8">
        <f>'Hourly Customer'!$D$29</f>
        <v>0</v>
      </c>
      <c r="AE5" s="9" t="e">
        <f>'Monthly IS'!#REF!</f>
        <v>#REF!</v>
      </c>
      <c r="AF5" s="20" t="e">
        <f>AF4+AD5-AE5</f>
        <v>#REF!</v>
      </c>
      <c r="AG5" s="371" t="s">
        <v>322</v>
      </c>
      <c r="AH5" s="19">
        <v>1</v>
      </c>
      <c r="AI5" s="8">
        <f>'Hourly Customer'!$D$29</f>
        <v>0</v>
      </c>
      <c r="AJ5" s="9" t="e">
        <f>'Monthly IS'!#REF!</f>
        <v>#REF!</v>
      </c>
      <c r="AK5" s="20" t="e">
        <f>AK4+AI5-AJ5</f>
        <v>#REF!</v>
      </c>
      <c r="AL5" s="371" t="s">
        <v>322</v>
      </c>
      <c r="AM5" s="19">
        <v>1</v>
      </c>
      <c r="AN5" s="8">
        <f>'Hourly Customer'!$D$29</f>
        <v>0</v>
      </c>
      <c r="AO5" s="9" t="e">
        <f>'Monthly IS'!#REF!</f>
        <v>#REF!</v>
      </c>
      <c r="AP5" s="20" t="e">
        <f>AP4+AN5-AO5</f>
        <v>#REF!</v>
      </c>
      <c r="AQ5" s="371" t="s">
        <v>322</v>
      </c>
      <c r="AR5" s="19">
        <v>1</v>
      </c>
      <c r="AS5" s="8">
        <f>'Hourly Customer'!$D$29</f>
        <v>0</v>
      </c>
      <c r="AT5" s="9" t="e">
        <f>'Monthly IS'!#REF!</f>
        <v>#REF!</v>
      </c>
      <c r="AU5" s="20" t="e">
        <f>AU4+AS5-AT5</f>
        <v>#REF!</v>
      </c>
      <c r="AV5" s="371" t="s">
        <v>322</v>
      </c>
      <c r="AW5" s="19">
        <v>1</v>
      </c>
      <c r="AX5" s="8">
        <f>'Hourly Customer'!$D$29</f>
        <v>0</v>
      </c>
      <c r="AY5" s="9" t="e">
        <f>'Monthly IS'!#REF!</f>
        <v>#REF!</v>
      </c>
      <c r="AZ5" s="20" t="e">
        <f>AZ4+AX5-AY5</f>
        <v>#REF!</v>
      </c>
      <c r="BA5" s="371" t="s">
        <v>322</v>
      </c>
      <c r="BB5" s="19">
        <v>1</v>
      </c>
      <c r="BC5" s="8">
        <f>'Hourly Customer'!$D$29</f>
        <v>0</v>
      </c>
      <c r="BD5" s="9" t="e">
        <f>'Monthly IS'!#REF!</f>
        <v>#REF!</v>
      </c>
      <c r="BE5" s="20" t="e">
        <f>BE4+BC5-BD5</f>
        <v>#REF!</v>
      </c>
      <c r="BF5" s="371" t="s">
        <v>322</v>
      </c>
      <c r="BG5" s="19">
        <v>1</v>
      </c>
      <c r="BH5" s="8">
        <f>'Hourly Customer'!$D$29</f>
        <v>0</v>
      </c>
      <c r="BI5" s="9" t="e">
        <f>'Monthly IS'!#REF!</f>
        <v>#REF!</v>
      </c>
      <c r="BJ5" s="20" t="e">
        <f>BJ4+BH5-BI5</f>
        <v>#REF!</v>
      </c>
    </row>
    <row r="6" spans="1:62" x14ac:dyDescent="0.15">
      <c r="A6" s="6" t="s">
        <v>320</v>
      </c>
      <c r="B6" s="21"/>
      <c r="C6" s="375"/>
      <c r="D6" s="19">
        <v>2</v>
      </c>
      <c r="E6" s="8">
        <f>'Hourly Customer'!$D$29</f>
        <v>0</v>
      </c>
      <c r="F6" s="9"/>
      <c r="G6" s="20" t="e">
        <f t="shared" ref="G6:G35" si="0">G5+E6-F6</f>
        <v>#REF!</v>
      </c>
      <c r="H6" s="372"/>
      <c r="I6" s="19">
        <v>2</v>
      </c>
      <c r="J6" s="8">
        <f>'Hourly Customer'!$D$29</f>
        <v>0</v>
      </c>
      <c r="K6" s="9"/>
      <c r="L6" s="20" t="e">
        <f t="shared" ref="L6:L32" si="1">L5+J6-K6</f>
        <v>#REF!</v>
      </c>
      <c r="M6" s="372"/>
      <c r="N6" s="19">
        <v>2</v>
      </c>
      <c r="O6" s="8">
        <f>'Hourly Customer'!$D$29</f>
        <v>0</v>
      </c>
      <c r="P6" s="9"/>
      <c r="Q6" s="20" t="e">
        <f t="shared" ref="Q6:Q35" si="2">Q5+O6-P6</f>
        <v>#REF!</v>
      </c>
      <c r="R6" s="372"/>
      <c r="S6" s="19">
        <v>2</v>
      </c>
      <c r="T6" s="8">
        <f>'Hourly Customer'!$D$29</f>
        <v>0</v>
      </c>
      <c r="U6" s="9"/>
      <c r="V6" s="20" t="e">
        <f t="shared" ref="V6:V34" si="3">V5+T6-U6</f>
        <v>#REF!</v>
      </c>
      <c r="W6" s="372"/>
      <c r="X6" s="19">
        <v>2</v>
      </c>
      <c r="Y6" s="8">
        <f>'Hourly Customer'!$D$29</f>
        <v>0</v>
      </c>
      <c r="Z6" s="9"/>
      <c r="AA6" s="20" t="e">
        <f t="shared" ref="AA6:AA35" si="4">AA5+Y6-Z6</f>
        <v>#REF!</v>
      </c>
      <c r="AB6" s="372"/>
      <c r="AC6" s="19">
        <v>2</v>
      </c>
      <c r="AD6" s="8">
        <f>'Hourly Customer'!$D$29</f>
        <v>0</v>
      </c>
      <c r="AE6" s="9"/>
      <c r="AF6" s="20" t="e">
        <f t="shared" ref="AF6:AF34" si="5">AF5+AD6-AE6</f>
        <v>#REF!</v>
      </c>
      <c r="AG6" s="372"/>
      <c r="AH6" s="19">
        <v>2</v>
      </c>
      <c r="AI6" s="8">
        <f>'Hourly Customer'!$D$29</f>
        <v>0</v>
      </c>
      <c r="AJ6" s="9"/>
      <c r="AK6" s="20" t="e">
        <f t="shared" ref="AK6:AK35" si="6">AK5+AI6-AJ6</f>
        <v>#REF!</v>
      </c>
      <c r="AL6" s="372"/>
      <c r="AM6" s="19">
        <v>2</v>
      </c>
      <c r="AN6" s="8">
        <f>'Hourly Customer'!$D$29</f>
        <v>0</v>
      </c>
      <c r="AO6" s="9"/>
      <c r="AP6" s="20" t="e">
        <f t="shared" ref="AP6:AP35" si="7">AP5+AN6-AO6</f>
        <v>#REF!</v>
      </c>
      <c r="AQ6" s="372"/>
      <c r="AR6" s="19">
        <v>2</v>
      </c>
      <c r="AS6" s="8">
        <f>'Hourly Customer'!$D$29</f>
        <v>0</v>
      </c>
      <c r="AT6" s="9"/>
      <c r="AU6" s="20" t="e">
        <f t="shared" ref="AU6:AU34" si="8">AU5+AS6-AT6</f>
        <v>#REF!</v>
      </c>
      <c r="AV6" s="372"/>
      <c r="AW6" s="19">
        <v>2</v>
      </c>
      <c r="AX6" s="8">
        <f>'Hourly Customer'!$D$29</f>
        <v>0</v>
      </c>
      <c r="AY6" s="9"/>
      <c r="AZ6" s="20" t="e">
        <f t="shared" ref="AZ6:AZ35" si="9">AZ5+AX6-AY6</f>
        <v>#REF!</v>
      </c>
      <c r="BA6" s="372"/>
      <c r="BB6" s="19">
        <v>2</v>
      </c>
      <c r="BC6" s="8">
        <f>'Hourly Customer'!$D$29</f>
        <v>0</v>
      </c>
      <c r="BD6" s="9"/>
      <c r="BE6" s="20" t="e">
        <f t="shared" ref="BE6:BE34" si="10">BE5+BC6-BD6</f>
        <v>#REF!</v>
      </c>
      <c r="BF6" s="372"/>
      <c r="BG6" s="19">
        <v>2</v>
      </c>
      <c r="BH6" s="8">
        <f>'Hourly Customer'!$D$29</f>
        <v>0</v>
      </c>
      <c r="BI6" s="9"/>
      <c r="BJ6" s="20" t="e">
        <f t="shared" ref="BJ6:BJ34" si="11">BJ5+BH6-BI6</f>
        <v>#REF!</v>
      </c>
    </row>
    <row r="7" spans="1:62" x14ac:dyDescent="0.15">
      <c r="A7" s="6" t="s">
        <v>320</v>
      </c>
      <c r="B7" s="21"/>
      <c r="C7" s="375"/>
      <c r="D7" s="19">
        <v>3</v>
      </c>
      <c r="E7" s="8">
        <f>'Hourly Customer'!$D$29</f>
        <v>0</v>
      </c>
      <c r="F7" s="9"/>
      <c r="G7" s="20" t="e">
        <f t="shared" si="0"/>
        <v>#REF!</v>
      </c>
      <c r="H7" s="372"/>
      <c r="I7" s="19">
        <v>3</v>
      </c>
      <c r="J7" s="8">
        <f>'Hourly Customer'!$D$29</f>
        <v>0</v>
      </c>
      <c r="K7" s="9"/>
      <c r="L7" s="20" t="e">
        <f t="shared" si="1"/>
        <v>#REF!</v>
      </c>
      <c r="M7" s="372"/>
      <c r="N7" s="19">
        <v>3</v>
      </c>
      <c r="O7" s="8">
        <f>'Hourly Customer'!$D$29</f>
        <v>0</v>
      </c>
      <c r="P7" s="9"/>
      <c r="Q7" s="20" t="e">
        <f t="shared" si="2"/>
        <v>#REF!</v>
      </c>
      <c r="R7" s="372"/>
      <c r="S7" s="19">
        <v>3</v>
      </c>
      <c r="T7" s="8">
        <f>'Hourly Customer'!$D$29</f>
        <v>0</v>
      </c>
      <c r="U7" s="9"/>
      <c r="V7" s="20" t="e">
        <f t="shared" si="3"/>
        <v>#REF!</v>
      </c>
      <c r="W7" s="372"/>
      <c r="X7" s="19">
        <v>3</v>
      </c>
      <c r="Y7" s="8">
        <f>'Hourly Customer'!$D$29</f>
        <v>0</v>
      </c>
      <c r="Z7" s="9"/>
      <c r="AA7" s="20" t="e">
        <f t="shared" si="4"/>
        <v>#REF!</v>
      </c>
      <c r="AB7" s="372"/>
      <c r="AC7" s="19">
        <v>3</v>
      </c>
      <c r="AD7" s="8">
        <f>'Hourly Customer'!$D$29</f>
        <v>0</v>
      </c>
      <c r="AE7" s="9"/>
      <c r="AF7" s="20" t="e">
        <f t="shared" si="5"/>
        <v>#REF!</v>
      </c>
      <c r="AG7" s="372"/>
      <c r="AH7" s="19">
        <v>3</v>
      </c>
      <c r="AI7" s="8">
        <f>'Hourly Customer'!$D$29</f>
        <v>0</v>
      </c>
      <c r="AJ7" s="9"/>
      <c r="AK7" s="20" t="e">
        <f t="shared" si="6"/>
        <v>#REF!</v>
      </c>
      <c r="AL7" s="372"/>
      <c r="AM7" s="19">
        <v>3</v>
      </c>
      <c r="AN7" s="8">
        <f>'Hourly Customer'!$D$29</f>
        <v>0</v>
      </c>
      <c r="AO7" s="9"/>
      <c r="AP7" s="20" t="e">
        <f t="shared" si="7"/>
        <v>#REF!</v>
      </c>
      <c r="AQ7" s="372"/>
      <c r="AR7" s="19">
        <v>3</v>
      </c>
      <c r="AS7" s="8">
        <f>'Hourly Customer'!$D$29</f>
        <v>0</v>
      </c>
      <c r="AT7" s="9"/>
      <c r="AU7" s="20" t="e">
        <f t="shared" si="8"/>
        <v>#REF!</v>
      </c>
      <c r="AV7" s="372"/>
      <c r="AW7" s="19">
        <v>3</v>
      </c>
      <c r="AX7" s="8">
        <f>'Hourly Customer'!$D$29</f>
        <v>0</v>
      </c>
      <c r="AY7" s="9"/>
      <c r="AZ7" s="20" t="e">
        <f t="shared" si="9"/>
        <v>#REF!</v>
      </c>
      <c r="BA7" s="372"/>
      <c r="BB7" s="19">
        <v>3</v>
      </c>
      <c r="BC7" s="8">
        <f>'Hourly Customer'!$D$29</f>
        <v>0</v>
      </c>
      <c r="BD7" s="9"/>
      <c r="BE7" s="20" t="e">
        <f t="shared" si="10"/>
        <v>#REF!</v>
      </c>
      <c r="BF7" s="372"/>
      <c r="BG7" s="19">
        <v>3</v>
      </c>
      <c r="BH7" s="8">
        <f>'Hourly Customer'!$D$29</f>
        <v>0</v>
      </c>
      <c r="BI7" s="9"/>
      <c r="BJ7" s="20" t="e">
        <f t="shared" si="11"/>
        <v>#REF!</v>
      </c>
    </row>
    <row r="8" spans="1:62" x14ac:dyDescent="0.15">
      <c r="A8" s="6" t="s">
        <v>320</v>
      </c>
      <c r="B8" s="7"/>
      <c r="C8" s="375"/>
      <c r="D8" s="19">
        <v>4</v>
      </c>
      <c r="E8" s="8">
        <f>'Hourly Customer'!$D$29</f>
        <v>0</v>
      </c>
      <c r="F8" s="9"/>
      <c r="G8" s="20" t="e">
        <f t="shared" si="0"/>
        <v>#REF!</v>
      </c>
      <c r="H8" s="372"/>
      <c r="I8" s="19">
        <v>4</v>
      </c>
      <c r="J8" s="8">
        <f>'Hourly Customer'!$D$29</f>
        <v>0</v>
      </c>
      <c r="K8" s="9"/>
      <c r="L8" s="20" t="e">
        <f t="shared" si="1"/>
        <v>#REF!</v>
      </c>
      <c r="M8" s="372"/>
      <c r="N8" s="19">
        <v>4</v>
      </c>
      <c r="O8" s="8">
        <f>'Hourly Customer'!$D$29</f>
        <v>0</v>
      </c>
      <c r="P8" s="9"/>
      <c r="Q8" s="20" t="e">
        <f t="shared" si="2"/>
        <v>#REF!</v>
      </c>
      <c r="R8" s="372"/>
      <c r="S8" s="19">
        <v>4</v>
      </c>
      <c r="T8" s="8">
        <f>'Hourly Customer'!$D$29</f>
        <v>0</v>
      </c>
      <c r="U8" s="9"/>
      <c r="V8" s="20" t="e">
        <f t="shared" si="3"/>
        <v>#REF!</v>
      </c>
      <c r="W8" s="372"/>
      <c r="X8" s="19">
        <v>4</v>
      </c>
      <c r="Y8" s="8">
        <f>'Hourly Customer'!$D$29</f>
        <v>0</v>
      </c>
      <c r="Z8" s="9"/>
      <c r="AA8" s="20" t="e">
        <f t="shared" si="4"/>
        <v>#REF!</v>
      </c>
      <c r="AB8" s="372"/>
      <c r="AC8" s="19">
        <v>4</v>
      </c>
      <c r="AD8" s="8">
        <f>'Hourly Customer'!$D$29</f>
        <v>0</v>
      </c>
      <c r="AE8" s="9"/>
      <c r="AF8" s="20" t="e">
        <f t="shared" si="5"/>
        <v>#REF!</v>
      </c>
      <c r="AG8" s="372"/>
      <c r="AH8" s="19">
        <v>4</v>
      </c>
      <c r="AI8" s="8">
        <f>'Hourly Customer'!$D$29</f>
        <v>0</v>
      </c>
      <c r="AJ8" s="9"/>
      <c r="AK8" s="20" t="e">
        <f t="shared" si="6"/>
        <v>#REF!</v>
      </c>
      <c r="AL8" s="372"/>
      <c r="AM8" s="19">
        <v>4</v>
      </c>
      <c r="AN8" s="8">
        <f>'Hourly Customer'!$D$29</f>
        <v>0</v>
      </c>
      <c r="AO8" s="9"/>
      <c r="AP8" s="20" t="e">
        <f t="shared" si="7"/>
        <v>#REF!</v>
      </c>
      <c r="AQ8" s="372"/>
      <c r="AR8" s="19">
        <v>4</v>
      </c>
      <c r="AS8" s="8">
        <f>'Hourly Customer'!$D$29</f>
        <v>0</v>
      </c>
      <c r="AT8" s="9"/>
      <c r="AU8" s="20" t="e">
        <f t="shared" si="8"/>
        <v>#REF!</v>
      </c>
      <c r="AV8" s="372"/>
      <c r="AW8" s="19">
        <v>4</v>
      </c>
      <c r="AX8" s="8">
        <f>'Hourly Customer'!$D$29</f>
        <v>0</v>
      </c>
      <c r="AY8" s="9"/>
      <c r="AZ8" s="20" t="e">
        <f t="shared" si="9"/>
        <v>#REF!</v>
      </c>
      <c r="BA8" s="372"/>
      <c r="BB8" s="19">
        <v>4</v>
      </c>
      <c r="BC8" s="8">
        <f>'Hourly Customer'!$D$29</f>
        <v>0</v>
      </c>
      <c r="BD8" s="9"/>
      <c r="BE8" s="20" t="e">
        <f t="shared" si="10"/>
        <v>#REF!</v>
      </c>
      <c r="BF8" s="372"/>
      <c r="BG8" s="19">
        <v>4</v>
      </c>
      <c r="BH8" s="8">
        <f>'Hourly Customer'!$D$29</f>
        <v>0</v>
      </c>
      <c r="BI8" s="9"/>
      <c r="BJ8" s="20" t="e">
        <f t="shared" si="11"/>
        <v>#REF!</v>
      </c>
    </row>
    <row r="9" spans="1:62" x14ac:dyDescent="0.15">
      <c r="A9" s="6" t="s">
        <v>320</v>
      </c>
      <c r="B9" s="7" t="s">
        <v>323</v>
      </c>
      <c r="C9" s="375"/>
      <c r="D9" s="19">
        <v>5</v>
      </c>
      <c r="E9" s="8">
        <f>'Hourly Customer'!$D$29</f>
        <v>0</v>
      </c>
      <c r="F9" s="9" t="e">
        <f>'Monthly IS'!#REF!</f>
        <v>#REF!</v>
      </c>
      <c r="G9" s="20" t="e">
        <f t="shared" si="0"/>
        <v>#REF!</v>
      </c>
      <c r="H9" s="372"/>
      <c r="I9" s="19">
        <v>5</v>
      </c>
      <c r="J9" s="8">
        <f>'Hourly Customer'!$D$29</f>
        <v>0</v>
      </c>
      <c r="K9" s="9" t="e">
        <f>'Monthly IS'!#REF!</f>
        <v>#REF!</v>
      </c>
      <c r="L9" s="20" t="e">
        <f t="shared" si="1"/>
        <v>#REF!</v>
      </c>
      <c r="M9" s="372"/>
      <c r="N9" s="19">
        <v>5</v>
      </c>
      <c r="O9" s="8">
        <f>'Hourly Customer'!$D$29</f>
        <v>0</v>
      </c>
      <c r="P9" s="9" t="e">
        <f>'Monthly IS'!#REF!</f>
        <v>#REF!</v>
      </c>
      <c r="Q9" s="20" t="e">
        <f t="shared" si="2"/>
        <v>#REF!</v>
      </c>
      <c r="R9" s="372"/>
      <c r="S9" s="19">
        <v>5</v>
      </c>
      <c r="T9" s="8">
        <f>'Hourly Customer'!$D$29</f>
        <v>0</v>
      </c>
      <c r="U9" s="9" t="e">
        <f>'Monthly IS'!#REF!</f>
        <v>#REF!</v>
      </c>
      <c r="V9" s="20" t="e">
        <f t="shared" si="3"/>
        <v>#REF!</v>
      </c>
      <c r="W9" s="372"/>
      <c r="X9" s="19">
        <v>5</v>
      </c>
      <c r="Y9" s="8">
        <f>'Hourly Customer'!$D$29</f>
        <v>0</v>
      </c>
      <c r="Z9" s="9" t="e">
        <f>'Monthly IS'!#REF!</f>
        <v>#REF!</v>
      </c>
      <c r="AA9" s="20" t="e">
        <f t="shared" si="4"/>
        <v>#REF!</v>
      </c>
      <c r="AB9" s="372"/>
      <c r="AC9" s="19">
        <v>5</v>
      </c>
      <c r="AD9" s="8">
        <f>'Hourly Customer'!$D$29</f>
        <v>0</v>
      </c>
      <c r="AE9" s="9" t="e">
        <f>'Monthly IS'!#REF!</f>
        <v>#REF!</v>
      </c>
      <c r="AF9" s="20" t="e">
        <f t="shared" si="5"/>
        <v>#REF!</v>
      </c>
      <c r="AG9" s="372"/>
      <c r="AH9" s="19">
        <v>5</v>
      </c>
      <c r="AI9" s="8">
        <f>'Hourly Customer'!$D$29</f>
        <v>0</v>
      </c>
      <c r="AJ9" s="9" t="e">
        <f>'Monthly IS'!#REF!</f>
        <v>#REF!</v>
      </c>
      <c r="AK9" s="20" t="e">
        <f t="shared" si="6"/>
        <v>#REF!</v>
      </c>
      <c r="AL9" s="372"/>
      <c r="AM9" s="19">
        <v>5</v>
      </c>
      <c r="AN9" s="8">
        <f>'Hourly Customer'!$D$29</f>
        <v>0</v>
      </c>
      <c r="AO9" s="9" t="e">
        <f>'Monthly IS'!#REF!</f>
        <v>#REF!</v>
      </c>
      <c r="AP9" s="20" t="e">
        <f t="shared" si="7"/>
        <v>#REF!</v>
      </c>
      <c r="AQ9" s="372"/>
      <c r="AR9" s="19">
        <v>5</v>
      </c>
      <c r="AS9" s="8">
        <f>'Hourly Customer'!$D$29</f>
        <v>0</v>
      </c>
      <c r="AT9" s="9" t="e">
        <f>'Monthly IS'!#REF!</f>
        <v>#REF!</v>
      </c>
      <c r="AU9" s="20" t="e">
        <f t="shared" si="8"/>
        <v>#REF!</v>
      </c>
      <c r="AV9" s="372"/>
      <c r="AW9" s="19">
        <v>5</v>
      </c>
      <c r="AX9" s="8">
        <f>'Hourly Customer'!$D$29</f>
        <v>0</v>
      </c>
      <c r="AY9" s="9" t="e">
        <f>'Monthly IS'!#REF!</f>
        <v>#REF!</v>
      </c>
      <c r="AZ9" s="20" t="e">
        <f t="shared" si="9"/>
        <v>#REF!</v>
      </c>
      <c r="BA9" s="372"/>
      <c r="BB9" s="19">
        <v>5</v>
      </c>
      <c r="BC9" s="8">
        <f>'Hourly Customer'!$D$29</f>
        <v>0</v>
      </c>
      <c r="BD9" s="9" t="e">
        <f>'Monthly IS'!#REF!</f>
        <v>#REF!</v>
      </c>
      <c r="BE9" s="20" t="e">
        <f t="shared" si="10"/>
        <v>#REF!</v>
      </c>
      <c r="BF9" s="372"/>
      <c r="BG9" s="19">
        <v>5</v>
      </c>
      <c r="BH9" s="8">
        <f>'Hourly Customer'!$D$29</f>
        <v>0</v>
      </c>
      <c r="BI9" s="9" t="e">
        <f>'Monthly IS'!#REF!</f>
        <v>#REF!</v>
      </c>
      <c r="BJ9" s="20" t="e">
        <f t="shared" si="11"/>
        <v>#REF!</v>
      </c>
    </row>
    <row r="10" spans="1:62" x14ac:dyDescent="0.15">
      <c r="A10" s="6" t="s">
        <v>320</v>
      </c>
      <c r="B10" s="9"/>
      <c r="C10" s="375"/>
      <c r="D10" s="19">
        <v>6</v>
      </c>
      <c r="E10" s="8">
        <f>'Hourly Customer'!$D$29</f>
        <v>0</v>
      </c>
      <c r="F10" s="9"/>
      <c r="G10" s="20" t="e">
        <f t="shared" si="0"/>
        <v>#REF!</v>
      </c>
      <c r="H10" s="372"/>
      <c r="I10" s="19">
        <v>6</v>
      </c>
      <c r="J10" s="8">
        <f>'Hourly Customer'!$D$29</f>
        <v>0</v>
      </c>
      <c r="K10" s="9"/>
      <c r="L10" s="20" t="e">
        <f t="shared" si="1"/>
        <v>#REF!</v>
      </c>
      <c r="M10" s="372"/>
      <c r="N10" s="19">
        <v>6</v>
      </c>
      <c r="O10" s="8">
        <f>'Hourly Customer'!$D$29</f>
        <v>0</v>
      </c>
      <c r="P10" s="9"/>
      <c r="Q10" s="20" t="e">
        <f t="shared" si="2"/>
        <v>#REF!</v>
      </c>
      <c r="R10" s="372"/>
      <c r="S10" s="19">
        <v>6</v>
      </c>
      <c r="T10" s="8">
        <f>'Hourly Customer'!$D$29</f>
        <v>0</v>
      </c>
      <c r="U10" s="9"/>
      <c r="V10" s="20" t="e">
        <f t="shared" si="3"/>
        <v>#REF!</v>
      </c>
      <c r="W10" s="372"/>
      <c r="X10" s="19">
        <v>6</v>
      </c>
      <c r="Y10" s="8">
        <f>'Hourly Customer'!$D$29</f>
        <v>0</v>
      </c>
      <c r="Z10" s="9"/>
      <c r="AA10" s="20" t="e">
        <f t="shared" si="4"/>
        <v>#REF!</v>
      </c>
      <c r="AB10" s="372"/>
      <c r="AC10" s="19">
        <v>6</v>
      </c>
      <c r="AD10" s="8">
        <f>'Hourly Customer'!$D$29</f>
        <v>0</v>
      </c>
      <c r="AE10" s="9"/>
      <c r="AF10" s="20" t="e">
        <f t="shared" si="5"/>
        <v>#REF!</v>
      </c>
      <c r="AG10" s="372"/>
      <c r="AH10" s="19">
        <v>6</v>
      </c>
      <c r="AI10" s="8">
        <f>'Hourly Customer'!$D$29</f>
        <v>0</v>
      </c>
      <c r="AJ10" s="9"/>
      <c r="AK10" s="20" t="e">
        <f t="shared" si="6"/>
        <v>#REF!</v>
      </c>
      <c r="AL10" s="372"/>
      <c r="AM10" s="19">
        <v>6</v>
      </c>
      <c r="AN10" s="8">
        <f>'Hourly Customer'!$D$29</f>
        <v>0</v>
      </c>
      <c r="AO10" s="9"/>
      <c r="AP10" s="20" t="e">
        <f t="shared" si="7"/>
        <v>#REF!</v>
      </c>
      <c r="AQ10" s="372"/>
      <c r="AR10" s="19">
        <v>6</v>
      </c>
      <c r="AS10" s="8">
        <f>'Hourly Customer'!$D$29</f>
        <v>0</v>
      </c>
      <c r="AT10" s="9"/>
      <c r="AU10" s="20" t="e">
        <f t="shared" si="8"/>
        <v>#REF!</v>
      </c>
      <c r="AV10" s="372"/>
      <c r="AW10" s="19">
        <v>6</v>
      </c>
      <c r="AX10" s="8">
        <f>'Hourly Customer'!$D$29</f>
        <v>0</v>
      </c>
      <c r="AY10" s="9"/>
      <c r="AZ10" s="20" t="e">
        <f t="shared" si="9"/>
        <v>#REF!</v>
      </c>
      <c r="BA10" s="372"/>
      <c r="BB10" s="19">
        <v>6</v>
      </c>
      <c r="BC10" s="8">
        <f>'Hourly Customer'!$D$29</f>
        <v>0</v>
      </c>
      <c r="BD10" s="9"/>
      <c r="BE10" s="20" t="e">
        <f t="shared" si="10"/>
        <v>#REF!</v>
      </c>
      <c r="BF10" s="372"/>
      <c r="BG10" s="19">
        <v>6</v>
      </c>
      <c r="BH10" s="8">
        <f>'Hourly Customer'!$D$29</f>
        <v>0</v>
      </c>
      <c r="BI10" s="9"/>
      <c r="BJ10" s="20" t="e">
        <f t="shared" si="11"/>
        <v>#REF!</v>
      </c>
    </row>
    <row r="11" spans="1:62" x14ac:dyDescent="0.15">
      <c r="A11" s="6" t="s">
        <v>320</v>
      </c>
      <c r="B11" s="7"/>
      <c r="C11" s="376"/>
      <c r="D11" s="19">
        <v>7</v>
      </c>
      <c r="E11" s="8">
        <f>'Hourly Customer'!$D$29</f>
        <v>0</v>
      </c>
      <c r="F11" s="9"/>
      <c r="G11" s="20" t="e">
        <f t="shared" si="0"/>
        <v>#REF!</v>
      </c>
      <c r="H11" s="373"/>
      <c r="I11" s="19">
        <v>7</v>
      </c>
      <c r="J11" s="8">
        <f>'Hourly Customer'!$D$29</f>
        <v>0</v>
      </c>
      <c r="K11" s="9"/>
      <c r="L11" s="20" t="e">
        <f t="shared" si="1"/>
        <v>#REF!</v>
      </c>
      <c r="M11" s="373"/>
      <c r="N11" s="19">
        <v>7</v>
      </c>
      <c r="O11" s="8">
        <f>'Hourly Customer'!$D$29</f>
        <v>0</v>
      </c>
      <c r="P11" s="9"/>
      <c r="Q11" s="20" t="e">
        <f t="shared" si="2"/>
        <v>#REF!</v>
      </c>
      <c r="R11" s="373"/>
      <c r="S11" s="19">
        <v>7</v>
      </c>
      <c r="T11" s="8">
        <f>'Hourly Customer'!$D$29</f>
        <v>0</v>
      </c>
      <c r="U11" s="9"/>
      <c r="V11" s="20" t="e">
        <f t="shared" si="3"/>
        <v>#REF!</v>
      </c>
      <c r="W11" s="373"/>
      <c r="X11" s="19">
        <v>7</v>
      </c>
      <c r="Y11" s="8">
        <f>'Hourly Customer'!$D$29</f>
        <v>0</v>
      </c>
      <c r="Z11" s="9"/>
      <c r="AA11" s="20" t="e">
        <f t="shared" si="4"/>
        <v>#REF!</v>
      </c>
      <c r="AB11" s="373"/>
      <c r="AC11" s="19">
        <v>7</v>
      </c>
      <c r="AD11" s="8">
        <f>'Hourly Customer'!$D$29</f>
        <v>0</v>
      </c>
      <c r="AE11" s="9"/>
      <c r="AF11" s="20" t="e">
        <f t="shared" si="5"/>
        <v>#REF!</v>
      </c>
      <c r="AG11" s="373"/>
      <c r="AH11" s="19">
        <v>7</v>
      </c>
      <c r="AI11" s="8">
        <f>'Hourly Customer'!$D$29</f>
        <v>0</v>
      </c>
      <c r="AJ11" s="9"/>
      <c r="AK11" s="20" t="e">
        <f t="shared" si="6"/>
        <v>#REF!</v>
      </c>
      <c r="AL11" s="373"/>
      <c r="AM11" s="19">
        <v>7</v>
      </c>
      <c r="AN11" s="8">
        <f>'Hourly Customer'!$D$29</f>
        <v>0</v>
      </c>
      <c r="AO11" s="9"/>
      <c r="AP11" s="20" t="e">
        <f t="shared" si="7"/>
        <v>#REF!</v>
      </c>
      <c r="AQ11" s="373"/>
      <c r="AR11" s="19">
        <v>7</v>
      </c>
      <c r="AS11" s="8">
        <f>'Hourly Customer'!$D$29</f>
        <v>0</v>
      </c>
      <c r="AT11" s="9"/>
      <c r="AU11" s="20" t="e">
        <f t="shared" si="8"/>
        <v>#REF!</v>
      </c>
      <c r="AV11" s="373"/>
      <c r="AW11" s="19">
        <v>7</v>
      </c>
      <c r="AX11" s="8">
        <f>'Hourly Customer'!$D$29</f>
        <v>0</v>
      </c>
      <c r="AY11" s="9"/>
      <c r="AZ11" s="20" t="e">
        <f t="shared" si="9"/>
        <v>#REF!</v>
      </c>
      <c r="BA11" s="373"/>
      <c r="BB11" s="19">
        <v>7</v>
      </c>
      <c r="BC11" s="8">
        <f>'Hourly Customer'!$D$29</f>
        <v>0</v>
      </c>
      <c r="BD11" s="9"/>
      <c r="BE11" s="20" t="e">
        <f t="shared" si="10"/>
        <v>#REF!</v>
      </c>
      <c r="BF11" s="373"/>
      <c r="BG11" s="19">
        <v>7</v>
      </c>
      <c r="BH11" s="8">
        <f>'Hourly Customer'!$D$29</f>
        <v>0</v>
      </c>
      <c r="BI11" s="9"/>
      <c r="BJ11" s="20" t="e">
        <f t="shared" si="11"/>
        <v>#REF!</v>
      </c>
    </row>
    <row r="12" spans="1:62" x14ac:dyDescent="0.15">
      <c r="A12" s="6" t="s">
        <v>320</v>
      </c>
      <c r="B12" s="7" t="s">
        <v>324</v>
      </c>
      <c r="C12" s="374" t="s">
        <v>325</v>
      </c>
      <c r="D12" s="19">
        <v>8</v>
      </c>
      <c r="E12" s="8">
        <f>'Hourly Customer'!$D$29</f>
        <v>0</v>
      </c>
      <c r="F12" s="9" t="e">
        <f>'Monthly IS'!#REF!</f>
        <v>#REF!</v>
      </c>
      <c r="G12" s="20" t="e">
        <f t="shared" si="0"/>
        <v>#REF!</v>
      </c>
      <c r="H12" s="371" t="s">
        <v>325</v>
      </c>
      <c r="I12" s="19">
        <v>8</v>
      </c>
      <c r="J12" s="8">
        <f>'Hourly Customer'!$D$29</f>
        <v>0</v>
      </c>
      <c r="K12" s="9" t="e">
        <f>'Monthly IS'!#REF!</f>
        <v>#REF!</v>
      </c>
      <c r="L12" s="20" t="e">
        <f t="shared" si="1"/>
        <v>#REF!</v>
      </c>
      <c r="M12" s="371" t="s">
        <v>325</v>
      </c>
      <c r="N12" s="19">
        <v>8</v>
      </c>
      <c r="O12" s="8">
        <f>'Hourly Customer'!$D$29</f>
        <v>0</v>
      </c>
      <c r="P12" s="9" t="e">
        <f>'Monthly IS'!#REF!</f>
        <v>#REF!</v>
      </c>
      <c r="Q12" s="20" t="e">
        <f t="shared" si="2"/>
        <v>#REF!</v>
      </c>
      <c r="R12" s="371" t="s">
        <v>325</v>
      </c>
      <c r="S12" s="19">
        <v>8</v>
      </c>
      <c r="T12" s="8">
        <f>'Hourly Customer'!$D$29</f>
        <v>0</v>
      </c>
      <c r="U12" s="9" t="e">
        <f>'Monthly IS'!#REF!</f>
        <v>#REF!</v>
      </c>
      <c r="V12" s="20" t="e">
        <f t="shared" si="3"/>
        <v>#REF!</v>
      </c>
      <c r="W12" s="371" t="s">
        <v>325</v>
      </c>
      <c r="X12" s="19">
        <v>8</v>
      </c>
      <c r="Y12" s="8">
        <f>'Hourly Customer'!$D$29</f>
        <v>0</v>
      </c>
      <c r="Z12" s="9" t="e">
        <f>'Monthly IS'!#REF!</f>
        <v>#REF!</v>
      </c>
      <c r="AA12" s="20" t="e">
        <f t="shared" si="4"/>
        <v>#REF!</v>
      </c>
      <c r="AB12" s="371" t="s">
        <v>325</v>
      </c>
      <c r="AC12" s="19">
        <v>8</v>
      </c>
      <c r="AD12" s="8">
        <f>'Hourly Customer'!$D$29</f>
        <v>0</v>
      </c>
      <c r="AE12" s="9" t="e">
        <f>'Monthly IS'!#REF!</f>
        <v>#REF!</v>
      </c>
      <c r="AF12" s="20" t="e">
        <f t="shared" si="5"/>
        <v>#REF!</v>
      </c>
      <c r="AG12" s="371" t="s">
        <v>325</v>
      </c>
      <c r="AH12" s="19">
        <v>8</v>
      </c>
      <c r="AI12" s="8">
        <f>'Hourly Customer'!$D$29</f>
        <v>0</v>
      </c>
      <c r="AJ12" s="9" t="e">
        <f>'Monthly IS'!#REF!</f>
        <v>#REF!</v>
      </c>
      <c r="AK12" s="20" t="e">
        <f t="shared" si="6"/>
        <v>#REF!</v>
      </c>
      <c r="AL12" s="371" t="s">
        <v>325</v>
      </c>
      <c r="AM12" s="19">
        <v>8</v>
      </c>
      <c r="AN12" s="8">
        <f>'Hourly Customer'!$D$29</f>
        <v>0</v>
      </c>
      <c r="AO12" s="9" t="e">
        <f>'Monthly IS'!#REF!</f>
        <v>#REF!</v>
      </c>
      <c r="AP12" s="20" t="e">
        <f t="shared" si="7"/>
        <v>#REF!</v>
      </c>
      <c r="AQ12" s="371" t="s">
        <v>325</v>
      </c>
      <c r="AR12" s="19">
        <v>8</v>
      </c>
      <c r="AS12" s="8">
        <f>'Hourly Customer'!$D$29</f>
        <v>0</v>
      </c>
      <c r="AT12" s="9" t="e">
        <f>'Monthly IS'!#REF!</f>
        <v>#REF!</v>
      </c>
      <c r="AU12" s="20" t="e">
        <f t="shared" si="8"/>
        <v>#REF!</v>
      </c>
      <c r="AV12" s="371" t="s">
        <v>325</v>
      </c>
      <c r="AW12" s="19">
        <v>8</v>
      </c>
      <c r="AX12" s="8">
        <f>'Hourly Customer'!$D$29</f>
        <v>0</v>
      </c>
      <c r="AY12" s="9" t="e">
        <f>'Monthly IS'!#REF!</f>
        <v>#REF!</v>
      </c>
      <c r="AZ12" s="20" t="e">
        <f t="shared" si="9"/>
        <v>#REF!</v>
      </c>
      <c r="BA12" s="371" t="s">
        <v>325</v>
      </c>
      <c r="BB12" s="19">
        <v>8</v>
      </c>
      <c r="BC12" s="8">
        <f>'Hourly Customer'!$D$29</f>
        <v>0</v>
      </c>
      <c r="BD12" s="9" t="e">
        <f>'Monthly IS'!#REF!</f>
        <v>#REF!</v>
      </c>
      <c r="BE12" s="20" t="e">
        <f t="shared" si="10"/>
        <v>#REF!</v>
      </c>
      <c r="BF12" s="371" t="s">
        <v>325</v>
      </c>
      <c r="BG12" s="19">
        <v>8</v>
      </c>
      <c r="BH12" s="8">
        <f>'Hourly Customer'!$D$29</f>
        <v>0</v>
      </c>
      <c r="BI12" s="9" t="e">
        <f>'Monthly IS'!#REF!</f>
        <v>#REF!</v>
      </c>
      <c r="BJ12" s="20" t="e">
        <f t="shared" si="11"/>
        <v>#REF!</v>
      </c>
    </row>
    <row r="13" spans="1:62" x14ac:dyDescent="0.15">
      <c r="A13" s="6" t="s">
        <v>320</v>
      </c>
      <c r="B13" s="7"/>
      <c r="C13" s="375"/>
      <c r="D13" s="19">
        <v>9</v>
      </c>
      <c r="E13" s="8">
        <f>'Hourly Customer'!$D$29</f>
        <v>0</v>
      </c>
      <c r="F13" s="9"/>
      <c r="G13" s="20" t="e">
        <f t="shared" si="0"/>
        <v>#REF!</v>
      </c>
      <c r="H13" s="372"/>
      <c r="I13" s="19">
        <v>9</v>
      </c>
      <c r="J13" s="8">
        <f>'Hourly Customer'!$D$29</f>
        <v>0</v>
      </c>
      <c r="K13" s="9"/>
      <c r="L13" s="20" t="e">
        <f t="shared" si="1"/>
        <v>#REF!</v>
      </c>
      <c r="M13" s="372"/>
      <c r="N13" s="19">
        <v>9</v>
      </c>
      <c r="O13" s="8">
        <f>'Hourly Customer'!$D$29</f>
        <v>0</v>
      </c>
      <c r="P13" s="9"/>
      <c r="Q13" s="20" t="e">
        <f t="shared" si="2"/>
        <v>#REF!</v>
      </c>
      <c r="R13" s="372"/>
      <c r="S13" s="19">
        <v>9</v>
      </c>
      <c r="T13" s="8">
        <f>'Hourly Customer'!$D$29</f>
        <v>0</v>
      </c>
      <c r="U13" s="9"/>
      <c r="V13" s="20" t="e">
        <f t="shared" si="3"/>
        <v>#REF!</v>
      </c>
      <c r="W13" s="372"/>
      <c r="X13" s="19">
        <v>9</v>
      </c>
      <c r="Y13" s="8">
        <f>'Hourly Customer'!$D$29</f>
        <v>0</v>
      </c>
      <c r="Z13" s="9"/>
      <c r="AA13" s="20" t="e">
        <f t="shared" si="4"/>
        <v>#REF!</v>
      </c>
      <c r="AB13" s="372"/>
      <c r="AC13" s="19">
        <v>9</v>
      </c>
      <c r="AD13" s="8">
        <f>'Hourly Customer'!$D$29</f>
        <v>0</v>
      </c>
      <c r="AE13" s="9"/>
      <c r="AF13" s="20" t="e">
        <f t="shared" si="5"/>
        <v>#REF!</v>
      </c>
      <c r="AG13" s="372"/>
      <c r="AH13" s="19">
        <v>9</v>
      </c>
      <c r="AI13" s="8">
        <f>'Hourly Customer'!$D$29</f>
        <v>0</v>
      </c>
      <c r="AJ13" s="9"/>
      <c r="AK13" s="20" t="e">
        <f t="shared" si="6"/>
        <v>#REF!</v>
      </c>
      <c r="AL13" s="372"/>
      <c r="AM13" s="19">
        <v>9</v>
      </c>
      <c r="AN13" s="8">
        <f>'Hourly Customer'!$D$29</f>
        <v>0</v>
      </c>
      <c r="AO13" s="9"/>
      <c r="AP13" s="20" t="e">
        <f t="shared" si="7"/>
        <v>#REF!</v>
      </c>
      <c r="AQ13" s="372"/>
      <c r="AR13" s="19">
        <v>9</v>
      </c>
      <c r="AS13" s="8">
        <f>'Hourly Customer'!$D$29</f>
        <v>0</v>
      </c>
      <c r="AT13" s="9"/>
      <c r="AU13" s="20" t="e">
        <f t="shared" si="8"/>
        <v>#REF!</v>
      </c>
      <c r="AV13" s="372"/>
      <c r="AW13" s="19">
        <v>9</v>
      </c>
      <c r="AX13" s="8">
        <f>'Hourly Customer'!$D$29</f>
        <v>0</v>
      </c>
      <c r="AY13" s="9"/>
      <c r="AZ13" s="20" t="e">
        <f t="shared" si="9"/>
        <v>#REF!</v>
      </c>
      <c r="BA13" s="372"/>
      <c r="BB13" s="19">
        <v>9</v>
      </c>
      <c r="BC13" s="8">
        <f>'Hourly Customer'!$D$29</f>
        <v>0</v>
      </c>
      <c r="BD13" s="9"/>
      <c r="BE13" s="20" t="e">
        <f t="shared" si="10"/>
        <v>#REF!</v>
      </c>
      <c r="BF13" s="372"/>
      <c r="BG13" s="19">
        <v>9</v>
      </c>
      <c r="BH13" s="8">
        <f>'Hourly Customer'!$D$29</f>
        <v>0</v>
      </c>
      <c r="BI13" s="9"/>
      <c r="BJ13" s="20" t="e">
        <f t="shared" si="11"/>
        <v>#REF!</v>
      </c>
    </row>
    <row r="14" spans="1:62" x14ac:dyDescent="0.15">
      <c r="A14" s="6" t="s">
        <v>320</v>
      </c>
      <c r="B14" s="7"/>
      <c r="C14" s="375"/>
      <c r="D14" s="19">
        <v>10</v>
      </c>
      <c r="E14" s="8">
        <f>'Hourly Customer'!$D$29</f>
        <v>0</v>
      </c>
      <c r="F14" s="9"/>
      <c r="G14" s="20" t="e">
        <f t="shared" si="0"/>
        <v>#REF!</v>
      </c>
      <c r="H14" s="372"/>
      <c r="I14" s="19">
        <v>10</v>
      </c>
      <c r="J14" s="8">
        <f>'Hourly Customer'!$D$29</f>
        <v>0</v>
      </c>
      <c r="K14" s="9"/>
      <c r="L14" s="20" t="e">
        <f t="shared" si="1"/>
        <v>#REF!</v>
      </c>
      <c r="M14" s="372"/>
      <c r="N14" s="19">
        <v>10</v>
      </c>
      <c r="O14" s="8">
        <f>'Hourly Customer'!$D$29</f>
        <v>0</v>
      </c>
      <c r="P14" s="9"/>
      <c r="Q14" s="20" t="e">
        <f t="shared" si="2"/>
        <v>#REF!</v>
      </c>
      <c r="R14" s="372"/>
      <c r="S14" s="19">
        <v>10</v>
      </c>
      <c r="T14" s="8">
        <f>'Hourly Customer'!$D$29</f>
        <v>0</v>
      </c>
      <c r="U14" s="9"/>
      <c r="V14" s="20" t="e">
        <f t="shared" si="3"/>
        <v>#REF!</v>
      </c>
      <c r="W14" s="372"/>
      <c r="X14" s="19">
        <v>10</v>
      </c>
      <c r="Y14" s="8">
        <f>'Hourly Customer'!$D$29</f>
        <v>0</v>
      </c>
      <c r="Z14" s="9"/>
      <c r="AA14" s="20" t="e">
        <f t="shared" si="4"/>
        <v>#REF!</v>
      </c>
      <c r="AB14" s="372"/>
      <c r="AC14" s="19">
        <v>10</v>
      </c>
      <c r="AD14" s="8">
        <f>'Hourly Customer'!$D$29</f>
        <v>0</v>
      </c>
      <c r="AE14" s="9"/>
      <c r="AF14" s="20" t="e">
        <f t="shared" si="5"/>
        <v>#REF!</v>
      </c>
      <c r="AG14" s="372"/>
      <c r="AH14" s="19">
        <v>10</v>
      </c>
      <c r="AI14" s="8">
        <f>'Hourly Customer'!$D$29</f>
        <v>0</v>
      </c>
      <c r="AJ14" s="9"/>
      <c r="AK14" s="20" t="e">
        <f t="shared" si="6"/>
        <v>#REF!</v>
      </c>
      <c r="AL14" s="372"/>
      <c r="AM14" s="19">
        <v>10</v>
      </c>
      <c r="AN14" s="8">
        <f>'Hourly Customer'!$D$29</f>
        <v>0</v>
      </c>
      <c r="AO14" s="9"/>
      <c r="AP14" s="20" t="e">
        <f t="shared" si="7"/>
        <v>#REF!</v>
      </c>
      <c r="AQ14" s="372"/>
      <c r="AR14" s="19">
        <v>10</v>
      </c>
      <c r="AS14" s="8">
        <f>'Hourly Customer'!$D$29</f>
        <v>0</v>
      </c>
      <c r="AT14" s="9"/>
      <c r="AU14" s="20" t="e">
        <f t="shared" si="8"/>
        <v>#REF!</v>
      </c>
      <c r="AV14" s="372"/>
      <c r="AW14" s="19">
        <v>10</v>
      </c>
      <c r="AX14" s="8">
        <f>'Hourly Customer'!$D$29</f>
        <v>0</v>
      </c>
      <c r="AY14" s="9"/>
      <c r="AZ14" s="20" t="e">
        <f t="shared" si="9"/>
        <v>#REF!</v>
      </c>
      <c r="BA14" s="372"/>
      <c r="BB14" s="19">
        <v>10</v>
      </c>
      <c r="BC14" s="8">
        <f>'Hourly Customer'!$D$29</f>
        <v>0</v>
      </c>
      <c r="BD14" s="9"/>
      <c r="BE14" s="20" t="e">
        <f t="shared" si="10"/>
        <v>#REF!</v>
      </c>
      <c r="BF14" s="372"/>
      <c r="BG14" s="19">
        <v>10</v>
      </c>
      <c r="BH14" s="8">
        <f>'Hourly Customer'!$D$29</f>
        <v>0</v>
      </c>
      <c r="BI14" s="9"/>
      <c r="BJ14" s="20" t="e">
        <f t="shared" si="11"/>
        <v>#REF!</v>
      </c>
    </row>
    <row r="15" spans="1:62" x14ac:dyDescent="0.15">
      <c r="A15" s="6" t="s">
        <v>320</v>
      </c>
      <c r="B15" s="7" t="s">
        <v>139</v>
      </c>
      <c r="C15" s="375"/>
      <c r="D15" s="19">
        <v>11</v>
      </c>
      <c r="E15" s="8">
        <f>'Hourly Customer'!$D$29</f>
        <v>0</v>
      </c>
      <c r="F15" s="9" t="e">
        <f>'Monthly IS'!#REF!</f>
        <v>#REF!</v>
      </c>
      <c r="G15" s="20" t="e">
        <f t="shared" si="0"/>
        <v>#REF!</v>
      </c>
      <c r="H15" s="372"/>
      <c r="I15" s="19">
        <v>11</v>
      </c>
      <c r="J15" s="8">
        <f>'Hourly Customer'!$D$29</f>
        <v>0</v>
      </c>
      <c r="K15" s="9" t="e">
        <f>'Monthly IS'!#REF!</f>
        <v>#REF!</v>
      </c>
      <c r="L15" s="20" t="e">
        <f t="shared" si="1"/>
        <v>#REF!</v>
      </c>
      <c r="M15" s="372"/>
      <c r="N15" s="19">
        <v>11</v>
      </c>
      <c r="O15" s="8">
        <f>'Hourly Customer'!$D$29</f>
        <v>0</v>
      </c>
      <c r="P15" s="9" t="e">
        <f>'Monthly IS'!#REF!</f>
        <v>#REF!</v>
      </c>
      <c r="Q15" s="20" t="e">
        <f t="shared" si="2"/>
        <v>#REF!</v>
      </c>
      <c r="R15" s="372"/>
      <c r="S15" s="19">
        <v>11</v>
      </c>
      <c r="T15" s="8">
        <f>'Hourly Customer'!$D$29</f>
        <v>0</v>
      </c>
      <c r="U15" s="9" t="e">
        <f>'Monthly IS'!#REF!</f>
        <v>#REF!</v>
      </c>
      <c r="V15" s="20" t="e">
        <f t="shared" si="3"/>
        <v>#REF!</v>
      </c>
      <c r="W15" s="372"/>
      <c r="X15" s="19">
        <v>11</v>
      </c>
      <c r="Y15" s="8">
        <f>'Hourly Customer'!$D$29</f>
        <v>0</v>
      </c>
      <c r="Z15" s="9" t="e">
        <f>'Monthly IS'!#REF!</f>
        <v>#REF!</v>
      </c>
      <c r="AA15" s="20" t="e">
        <f t="shared" si="4"/>
        <v>#REF!</v>
      </c>
      <c r="AB15" s="372"/>
      <c r="AC15" s="19">
        <v>11</v>
      </c>
      <c r="AD15" s="8">
        <f>'Hourly Customer'!$D$29</f>
        <v>0</v>
      </c>
      <c r="AE15" s="9" t="e">
        <f>'Monthly IS'!#REF!</f>
        <v>#REF!</v>
      </c>
      <c r="AF15" s="20" t="e">
        <f t="shared" si="5"/>
        <v>#REF!</v>
      </c>
      <c r="AG15" s="372"/>
      <c r="AH15" s="19">
        <v>11</v>
      </c>
      <c r="AI15" s="8">
        <f>'Hourly Customer'!$D$29</f>
        <v>0</v>
      </c>
      <c r="AJ15" s="9" t="e">
        <f>'Monthly IS'!#REF!</f>
        <v>#REF!</v>
      </c>
      <c r="AK15" s="20" t="e">
        <f t="shared" si="6"/>
        <v>#REF!</v>
      </c>
      <c r="AL15" s="372"/>
      <c r="AM15" s="19">
        <v>11</v>
      </c>
      <c r="AN15" s="8">
        <f>'Hourly Customer'!$D$29</f>
        <v>0</v>
      </c>
      <c r="AO15" s="9" t="e">
        <f>'Monthly IS'!#REF!</f>
        <v>#REF!</v>
      </c>
      <c r="AP15" s="20" t="e">
        <f t="shared" si="7"/>
        <v>#REF!</v>
      </c>
      <c r="AQ15" s="372"/>
      <c r="AR15" s="19">
        <v>11</v>
      </c>
      <c r="AS15" s="8">
        <f>'Hourly Customer'!$D$29</f>
        <v>0</v>
      </c>
      <c r="AT15" s="9" t="e">
        <f>'Monthly IS'!#REF!</f>
        <v>#REF!</v>
      </c>
      <c r="AU15" s="20" t="e">
        <f t="shared" si="8"/>
        <v>#REF!</v>
      </c>
      <c r="AV15" s="372"/>
      <c r="AW15" s="19">
        <v>11</v>
      </c>
      <c r="AX15" s="8">
        <f>'Hourly Customer'!$D$29</f>
        <v>0</v>
      </c>
      <c r="AY15" s="9" t="e">
        <f>'Monthly IS'!#REF!</f>
        <v>#REF!</v>
      </c>
      <c r="AZ15" s="20" t="e">
        <f t="shared" si="9"/>
        <v>#REF!</v>
      </c>
      <c r="BA15" s="372"/>
      <c r="BB15" s="19">
        <v>11</v>
      </c>
      <c r="BC15" s="8">
        <f>'Hourly Customer'!$D$29</f>
        <v>0</v>
      </c>
      <c r="BD15" s="9" t="e">
        <f>'Monthly IS'!#REF!</f>
        <v>#REF!</v>
      </c>
      <c r="BE15" s="20" t="e">
        <f t="shared" si="10"/>
        <v>#REF!</v>
      </c>
      <c r="BF15" s="372"/>
      <c r="BG15" s="19">
        <v>11</v>
      </c>
      <c r="BH15" s="8">
        <f>'Hourly Customer'!$D$29</f>
        <v>0</v>
      </c>
      <c r="BI15" s="9" t="e">
        <f>'Monthly IS'!#REF!</f>
        <v>#REF!</v>
      </c>
      <c r="BJ15" s="20" t="e">
        <f t="shared" si="11"/>
        <v>#REF!</v>
      </c>
    </row>
    <row r="16" spans="1:62" x14ac:dyDescent="0.15">
      <c r="A16" s="6" t="s">
        <v>320</v>
      </c>
      <c r="B16" s="7"/>
      <c r="C16" s="375"/>
      <c r="D16" s="19">
        <v>12</v>
      </c>
      <c r="E16" s="8">
        <f>'Hourly Customer'!$D$29</f>
        <v>0</v>
      </c>
      <c r="F16" s="9"/>
      <c r="G16" s="20" t="e">
        <f t="shared" si="0"/>
        <v>#REF!</v>
      </c>
      <c r="H16" s="372"/>
      <c r="I16" s="19">
        <v>12</v>
      </c>
      <c r="J16" s="8">
        <f>'Hourly Customer'!$D$29</f>
        <v>0</v>
      </c>
      <c r="K16" s="9"/>
      <c r="L16" s="20" t="e">
        <f t="shared" si="1"/>
        <v>#REF!</v>
      </c>
      <c r="M16" s="372"/>
      <c r="N16" s="19">
        <v>12</v>
      </c>
      <c r="O16" s="8">
        <f>'Hourly Customer'!$D$29</f>
        <v>0</v>
      </c>
      <c r="P16" s="9"/>
      <c r="Q16" s="20" t="e">
        <f t="shared" si="2"/>
        <v>#REF!</v>
      </c>
      <c r="R16" s="372"/>
      <c r="S16" s="19">
        <v>12</v>
      </c>
      <c r="T16" s="8">
        <f>'Hourly Customer'!$D$29</f>
        <v>0</v>
      </c>
      <c r="U16" s="9"/>
      <c r="V16" s="20" t="e">
        <f t="shared" si="3"/>
        <v>#REF!</v>
      </c>
      <c r="W16" s="372"/>
      <c r="X16" s="19">
        <v>12</v>
      </c>
      <c r="Y16" s="8">
        <f>'Hourly Customer'!$D$29</f>
        <v>0</v>
      </c>
      <c r="Z16" s="9"/>
      <c r="AA16" s="20" t="e">
        <f t="shared" si="4"/>
        <v>#REF!</v>
      </c>
      <c r="AB16" s="372"/>
      <c r="AC16" s="19">
        <v>12</v>
      </c>
      <c r="AD16" s="8">
        <f>'Hourly Customer'!$D$29</f>
        <v>0</v>
      </c>
      <c r="AE16" s="9"/>
      <c r="AF16" s="20" t="e">
        <f t="shared" si="5"/>
        <v>#REF!</v>
      </c>
      <c r="AG16" s="372"/>
      <c r="AH16" s="19">
        <v>12</v>
      </c>
      <c r="AI16" s="8">
        <f>'Hourly Customer'!$D$29</f>
        <v>0</v>
      </c>
      <c r="AJ16" s="9"/>
      <c r="AK16" s="20" t="e">
        <f t="shared" si="6"/>
        <v>#REF!</v>
      </c>
      <c r="AL16" s="372"/>
      <c r="AM16" s="19">
        <v>12</v>
      </c>
      <c r="AN16" s="8">
        <f>'Hourly Customer'!$D$29</f>
        <v>0</v>
      </c>
      <c r="AO16" s="9"/>
      <c r="AP16" s="20" t="e">
        <f t="shared" si="7"/>
        <v>#REF!</v>
      </c>
      <c r="AQ16" s="372"/>
      <c r="AR16" s="19">
        <v>12</v>
      </c>
      <c r="AS16" s="8">
        <f>'Hourly Customer'!$D$29</f>
        <v>0</v>
      </c>
      <c r="AT16" s="9"/>
      <c r="AU16" s="20" t="e">
        <f t="shared" si="8"/>
        <v>#REF!</v>
      </c>
      <c r="AV16" s="372"/>
      <c r="AW16" s="19">
        <v>12</v>
      </c>
      <c r="AX16" s="8">
        <f>'Hourly Customer'!$D$29</f>
        <v>0</v>
      </c>
      <c r="AY16" s="9"/>
      <c r="AZ16" s="20" t="e">
        <f t="shared" si="9"/>
        <v>#REF!</v>
      </c>
      <c r="BA16" s="372"/>
      <c r="BB16" s="19">
        <v>12</v>
      </c>
      <c r="BC16" s="8">
        <f>'Hourly Customer'!$D$29</f>
        <v>0</v>
      </c>
      <c r="BD16" s="9"/>
      <c r="BE16" s="20" t="e">
        <f t="shared" si="10"/>
        <v>#REF!</v>
      </c>
      <c r="BF16" s="372"/>
      <c r="BG16" s="19">
        <v>12</v>
      </c>
      <c r="BH16" s="8">
        <f>'Hourly Customer'!$D$29</f>
        <v>0</v>
      </c>
      <c r="BI16" s="9"/>
      <c r="BJ16" s="20" t="e">
        <f t="shared" si="11"/>
        <v>#REF!</v>
      </c>
    </row>
    <row r="17" spans="1:62" x14ac:dyDescent="0.15">
      <c r="A17" s="6" t="s">
        <v>320</v>
      </c>
      <c r="B17" s="7"/>
      <c r="C17" s="375"/>
      <c r="D17" s="19">
        <v>13</v>
      </c>
      <c r="E17" s="8">
        <f>'Hourly Customer'!$D$29</f>
        <v>0</v>
      </c>
      <c r="F17" s="9"/>
      <c r="G17" s="20" t="e">
        <f t="shared" si="0"/>
        <v>#REF!</v>
      </c>
      <c r="H17" s="372"/>
      <c r="I17" s="19">
        <v>13</v>
      </c>
      <c r="J17" s="8">
        <f>'Hourly Customer'!$D$29</f>
        <v>0</v>
      </c>
      <c r="K17" s="9"/>
      <c r="L17" s="20" t="e">
        <f t="shared" si="1"/>
        <v>#REF!</v>
      </c>
      <c r="M17" s="372"/>
      <c r="N17" s="19">
        <v>13</v>
      </c>
      <c r="O17" s="8">
        <f>'Hourly Customer'!$D$29</f>
        <v>0</v>
      </c>
      <c r="P17" s="9"/>
      <c r="Q17" s="20" t="e">
        <f t="shared" si="2"/>
        <v>#REF!</v>
      </c>
      <c r="R17" s="372"/>
      <c r="S17" s="19">
        <v>13</v>
      </c>
      <c r="T17" s="8">
        <f>'Hourly Customer'!$D$29</f>
        <v>0</v>
      </c>
      <c r="U17" s="9"/>
      <c r="V17" s="20" t="e">
        <f t="shared" si="3"/>
        <v>#REF!</v>
      </c>
      <c r="W17" s="372"/>
      <c r="X17" s="19">
        <v>13</v>
      </c>
      <c r="Y17" s="8">
        <f>'Hourly Customer'!$D$29</f>
        <v>0</v>
      </c>
      <c r="Z17" s="9"/>
      <c r="AA17" s="20" t="e">
        <f t="shared" si="4"/>
        <v>#REF!</v>
      </c>
      <c r="AB17" s="372"/>
      <c r="AC17" s="19">
        <v>13</v>
      </c>
      <c r="AD17" s="8">
        <f>'Hourly Customer'!$D$29</f>
        <v>0</v>
      </c>
      <c r="AE17" s="9"/>
      <c r="AF17" s="20" t="e">
        <f t="shared" si="5"/>
        <v>#REF!</v>
      </c>
      <c r="AG17" s="372"/>
      <c r="AH17" s="19">
        <v>13</v>
      </c>
      <c r="AI17" s="8">
        <f>'Hourly Customer'!$D$29</f>
        <v>0</v>
      </c>
      <c r="AJ17" s="9"/>
      <c r="AK17" s="20" t="e">
        <f t="shared" si="6"/>
        <v>#REF!</v>
      </c>
      <c r="AL17" s="372"/>
      <c r="AM17" s="19">
        <v>13</v>
      </c>
      <c r="AN17" s="8">
        <f>'Hourly Customer'!$D$29</f>
        <v>0</v>
      </c>
      <c r="AO17" s="9"/>
      <c r="AP17" s="20" t="e">
        <f t="shared" si="7"/>
        <v>#REF!</v>
      </c>
      <c r="AQ17" s="372"/>
      <c r="AR17" s="19">
        <v>13</v>
      </c>
      <c r="AS17" s="8">
        <f>'Hourly Customer'!$D$29</f>
        <v>0</v>
      </c>
      <c r="AT17" s="9"/>
      <c r="AU17" s="20" t="e">
        <f t="shared" si="8"/>
        <v>#REF!</v>
      </c>
      <c r="AV17" s="372"/>
      <c r="AW17" s="19">
        <v>13</v>
      </c>
      <c r="AX17" s="8">
        <f>'Hourly Customer'!$D$29</f>
        <v>0</v>
      </c>
      <c r="AY17" s="9"/>
      <c r="AZ17" s="20" t="e">
        <f t="shared" si="9"/>
        <v>#REF!</v>
      </c>
      <c r="BA17" s="372"/>
      <c r="BB17" s="19">
        <v>13</v>
      </c>
      <c r="BC17" s="8">
        <f>'Hourly Customer'!$D$29</f>
        <v>0</v>
      </c>
      <c r="BD17" s="9"/>
      <c r="BE17" s="20" t="e">
        <f t="shared" si="10"/>
        <v>#REF!</v>
      </c>
      <c r="BF17" s="372"/>
      <c r="BG17" s="19">
        <v>13</v>
      </c>
      <c r="BH17" s="8">
        <f>'Hourly Customer'!$D$29</f>
        <v>0</v>
      </c>
      <c r="BI17" s="9"/>
      <c r="BJ17" s="20" t="e">
        <f t="shared" si="11"/>
        <v>#REF!</v>
      </c>
    </row>
    <row r="18" spans="1:62" x14ac:dyDescent="0.15">
      <c r="A18" s="6" t="s">
        <v>320</v>
      </c>
      <c r="B18" s="7" t="s">
        <v>206</v>
      </c>
      <c r="C18" s="376"/>
      <c r="D18" s="19">
        <v>14</v>
      </c>
      <c r="E18" s="8">
        <f>'Hourly Customer'!$D$29</f>
        <v>0</v>
      </c>
      <c r="F18" s="9" t="e">
        <f>'Monthly IS'!#REF!</f>
        <v>#REF!</v>
      </c>
      <c r="G18" s="20" t="e">
        <f t="shared" si="0"/>
        <v>#REF!</v>
      </c>
      <c r="H18" s="373"/>
      <c r="I18" s="19">
        <v>14</v>
      </c>
      <c r="J18" s="8">
        <f>'Hourly Customer'!$D$29</f>
        <v>0</v>
      </c>
      <c r="K18" s="9" t="e">
        <f>'Monthly IS'!#REF!</f>
        <v>#REF!</v>
      </c>
      <c r="L18" s="20" t="e">
        <f t="shared" si="1"/>
        <v>#REF!</v>
      </c>
      <c r="M18" s="373"/>
      <c r="N18" s="19">
        <v>14</v>
      </c>
      <c r="O18" s="8">
        <f>'Hourly Customer'!$D$29</f>
        <v>0</v>
      </c>
      <c r="P18" s="9" t="e">
        <f>'Monthly IS'!#REF!</f>
        <v>#REF!</v>
      </c>
      <c r="Q18" s="20" t="e">
        <f t="shared" si="2"/>
        <v>#REF!</v>
      </c>
      <c r="R18" s="373"/>
      <c r="S18" s="19">
        <v>14</v>
      </c>
      <c r="T18" s="8">
        <f>'Hourly Customer'!$D$29</f>
        <v>0</v>
      </c>
      <c r="U18" s="9" t="e">
        <f>'Monthly IS'!#REF!</f>
        <v>#REF!</v>
      </c>
      <c r="V18" s="20" t="e">
        <f t="shared" si="3"/>
        <v>#REF!</v>
      </c>
      <c r="W18" s="373"/>
      <c r="X18" s="19">
        <v>14</v>
      </c>
      <c r="Y18" s="8">
        <f>'Hourly Customer'!$D$29</f>
        <v>0</v>
      </c>
      <c r="Z18" s="9" t="e">
        <f>'Monthly IS'!#REF!</f>
        <v>#REF!</v>
      </c>
      <c r="AA18" s="20" t="e">
        <f t="shared" si="4"/>
        <v>#REF!</v>
      </c>
      <c r="AB18" s="373"/>
      <c r="AC18" s="19">
        <v>14</v>
      </c>
      <c r="AD18" s="8">
        <f>'Hourly Customer'!$D$29</f>
        <v>0</v>
      </c>
      <c r="AE18" s="9" t="e">
        <f>'Monthly IS'!#REF!</f>
        <v>#REF!</v>
      </c>
      <c r="AF18" s="20" t="e">
        <f t="shared" si="5"/>
        <v>#REF!</v>
      </c>
      <c r="AG18" s="373"/>
      <c r="AH18" s="19">
        <v>14</v>
      </c>
      <c r="AI18" s="8">
        <f>'Hourly Customer'!$D$29</f>
        <v>0</v>
      </c>
      <c r="AJ18" s="9" t="e">
        <f>'Monthly IS'!#REF!</f>
        <v>#REF!</v>
      </c>
      <c r="AK18" s="20" t="e">
        <f t="shared" si="6"/>
        <v>#REF!</v>
      </c>
      <c r="AL18" s="373"/>
      <c r="AM18" s="19">
        <v>14</v>
      </c>
      <c r="AN18" s="8">
        <f>'Hourly Customer'!$D$29</f>
        <v>0</v>
      </c>
      <c r="AO18" s="9" t="e">
        <f>'Monthly IS'!#REF!</f>
        <v>#REF!</v>
      </c>
      <c r="AP18" s="20" t="e">
        <f t="shared" si="7"/>
        <v>#REF!</v>
      </c>
      <c r="AQ18" s="373"/>
      <c r="AR18" s="19">
        <v>14</v>
      </c>
      <c r="AS18" s="8">
        <f>'Hourly Customer'!$D$29</f>
        <v>0</v>
      </c>
      <c r="AT18" s="9" t="e">
        <f>'Monthly IS'!#REF!</f>
        <v>#REF!</v>
      </c>
      <c r="AU18" s="20" t="e">
        <f t="shared" si="8"/>
        <v>#REF!</v>
      </c>
      <c r="AV18" s="373"/>
      <c r="AW18" s="19">
        <v>14</v>
      </c>
      <c r="AX18" s="8">
        <f>'Hourly Customer'!$D$29</f>
        <v>0</v>
      </c>
      <c r="AY18" s="9" t="e">
        <f>'Monthly IS'!#REF!</f>
        <v>#REF!</v>
      </c>
      <c r="AZ18" s="20" t="e">
        <f t="shared" si="9"/>
        <v>#REF!</v>
      </c>
      <c r="BA18" s="373"/>
      <c r="BB18" s="19">
        <v>14</v>
      </c>
      <c r="BC18" s="8">
        <f>'Hourly Customer'!$D$29</f>
        <v>0</v>
      </c>
      <c r="BD18" s="9" t="e">
        <f>'Monthly IS'!#REF!</f>
        <v>#REF!</v>
      </c>
      <c r="BE18" s="20" t="e">
        <f t="shared" si="10"/>
        <v>#REF!</v>
      </c>
      <c r="BF18" s="373"/>
      <c r="BG18" s="19">
        <v>14</v>
      </c>
      <c r="BH18" s="8">
        <f>'Hourly Customer'!$D$29</f>
        <v>0</v>
      </c>
      <c r="BI18" s="9" t="e">
        <f>'Monthly IS'!#REF!</f>
        <v>#REF!</v>
      </c>
      <c r="BJ18" s="20" t="e">
        <f t="shared" si="11"/>
        <v>#REF!</v>
      </c>
    </row>
    <row r="19" spans="1:62" x14ac:dyDescent="0.15">
      <c r="A19" s="6" t="s">
        <v>320</v>
      </c>
      <c r="B19" s="9"/>
      <c r="C19" s="374" t="s">
        <v>326</v>
      </c>
      <c r="D19" s="19">
        <v>15</v>
      </c>
      <c r="E19" s="8">
        <f>'Hourly Customer'!$D$29</f>
        <v>0</v>
      </c>
      <c r="F19" s="9"/>
      <c r="G19" s="20" t="e">
        <f t="shared" si="0"/>
        <v>#REF!</v>
      </c>
      <c r="H19" s="371" t="s">
        <v>326</v>
      </c>
      <c r="I19" s="19">
        <v>15</v>
      </c>
      <c r="J19" s="8">
        <f>'Hourly Customer'!$D$29</f>
        <v>0</v>
      </c>
      <c r="K19" s="9"/>
      <c r="L19" s="20" t="e">
        <f t="shared" si="1"/>
        <v>#REF!</v>
      </c>
      <c r="M19" s="371" t="s">
        <v>326</v>
      </c>
      <c r="N19" s="19">
        <v>15</v>
      </c>
      <c r="O19" s="8">
        <f>'Hourly Customer'!$D$29</f>
        <v>0</v>
      </c>
      <c r="P19" s="9"/>
      <c r="Q19" s="20" t="e">
        <f t="shared" si="2"/>
        <v>#REF!</v>
      </c>
      <c r="R19" s="371" t="s">
        <v>326</v>
      </c>
      <c r="S19" s="19">
        <v>15</v>
      </c>
      <c r="T19" s="8">
        <f>'Hourly Customer'!$D$29</f>
        <v>0</v>
      </c>
      <c r="U19" s="9"/>
      <c r="V19" s="20" t="e">
        <f t="shared" si="3"/>
        <v>#REF!</v>
      </c>
      <c r="W19" s="371" t="s">
        <v>326</v>
      </c>
      <c r="X19" s="19">
        <v>15</v>
      </c>
      <c r="Y19" s="8">
        <f>'Hourly Customer'!$D$29</f>
        <v>0</v>
      </c>
      <c r="Z19" s="9"/>
      <c r="AA19" s="20" t="e">
        <f t="shared" si="4"/>
        <v>#REF!</v>
      </c>
      <c r="AB19" s="371" t="s">
        <v>326</v>
      </c>
      <c r="AC19" s="19">
        <v>15</v>
      </c>
      <c r="AD19" s="8">
        <f>'Hourly Customer'!$D$29</f>
        <v>0</v>
      </c>
      <c r="AE19" s="9"/>
      <c r="AF19" s="20" t="e">
        <f t="shared" si="5"/>
        <v>#REF!</v>
      </c>
      <c r="AG19" s="371" t="s">
        <v>326</v>
      </c>
      <c r="AH19" s="19">
        <v>15</v>
      </c>
      <c r="AI19" s="8">
        <f>'Hourly Customer'!$D$29</f>
        <v>0</v>
      </c>
      <c r="AJ19" s="9"/>
      <c r="AK19" s="20" t="e">
        <f t="shared" si="6"/>
        <v>#REF!</v>
      </c>
      <c r="AL19" s="371" t="s">
        <v>326</v>
      </c>
      <c r="AM19" s="19">
        <v>15</v>
      </c>
      <c r="AN19" s="8">
        <f>'Hourly Customer'!$D$29</f>
        <v>0</v>
      </c>
      <c r="AO19" s="9"/>
      <c r="AP19" s="20" t="e">
        <f t="shared" si="7"/>
        <v>#REF!</v>
      </c>
      <c r="AQ19" s="371" t="s">
        <v>326</v>
      </c>
      <c r="AR19" s="19">
        <v>15</v>
      </c>
      <c r="AS19" s="8">
        <f>'Hourly Customer'!$D$29</f>
        <v>0</v>
      </c>
      <c r="AT19" s="9"/>
      <c r="AU19" s="20" t="e">
        <f t="shared" si="8"/>
        <v>#REF!</v>
      </c>
      <c r="AV19" s="371" t="s">
        <v>326</v>
      </c>
      <c r="AW19" s="19">
        <v>15</v>
      </c>
      <c r="AX19" s="8">
        <f>'Hourly Customer'!$D$29</f>
        <v>0</v>
      </c>
      <c r="AY19" s="9"/>
      <c r="AZ19" s="20" t="e">
        <f t="shared" si="9"/>
        <v>#REF!</v>
      </c>
      <c r="BA19" s="371" t="s">
        <v>326</v>
      </c>
      <c r="BB19" s="19">
        <v>15</v>
      </c>
      <c r="BC19" s="8">
        <f>'Hourly Customer'!$D$29</f>
        <v>0</v>
      </c>
      <c r="BD19" s="9"/>
      <c r="BE19" s="20" t="e">
        <f t="shared" si="10"/>
        <v>#REF!</v>
      </c>
      <c r="BF19" s="371" t="s">
        <v>326</v>
      </c>
      <c r="BG19" s="19">
        <v>15</v>
      </c>
      <c r="BH19" s="8">
        <f>'Hourly Customer'!$D$29</f>
        <v>0</v>
      </c>
      <c r="BI19" s="9"/>
      <c r="BJ19" s="20" t="e">
        <f t="shared" si="11"/>
        <v>#REF!</v>
      </c>
    </row>
    <row r="20" spans="1:62" x14ac:dyDescent="0.15">
      <c r="A20" s="6" t="s">
        <v>320</v>
      </c>
      <c r="B20" s="7"/>
      <c r="C20" s="375"/>
      <c r="D20" s="19">
        <v>16</v>
      </c>
      <c r="E20" s="8">
        <f>'Hourly Customer'!$D$29</f>
        <v>0</v>
      </c>
      <c r="F20" s="9"/>
      <c r="G20" s="20" t="e">
        <f t="shared" si="0"/>
        <v>#REF!</v>
      </c>
      <c r="H20" s="372"/>
      <c r="I20" s="19">
        <v>16</v>
      </c>
      <c r="J20" s="8">
        <f>'Hourly Customer'!$D$29</f>
        <v>0</v>
      </c>
      <c r="K20" s="9"/>
      <c r="L20" s="20" t="e">
        <f t="shared" si="1"/>
        <v>#REF!</v>
      </c>
      <c r="M20" s="372"/>
      <c r="N20" s="19">
        <v>16</v>
      </c>
      <c r="O20" s="8">
        <f>'Hourly Customer'!$D$29</f>
        <v>0</v>
      </c>
      <c r="P20" s="9"/>
      <c r="Q20" s="20" t="e">
        <f t="shared" si="2"/>
        <v>#REF!</v>
      </c>
      <c r="R20" s="372"/>
      <c r="S20" s="19">
        <v>16</v>
      </c>
      <c r="T20" s="8">
        <f>'Hourly Customer'!$D$29</f>
        <v>0</v>
      </c>
      <c r="U20" s="9"/>
      <c r="V20" s="20" t="e">
        <f t="shared" si="3"/>
        <v>#REF!</v>
      </c>
      <c r="W20" s="372"/>
      <c r="X20" s="19">
        <v>16</v>
      </c>
      <c r="Y20" s="8">
        <f>'Hourly Customer'!$D$29</f>
        <v>0</v>
      </c>
      <c r="Z20" s="9"/>
      <c r="AA20" s="20" t="e">
        <f t="shared" si="4"/>
        <v>#REF!</v>
      </c>
      <c r="AB20" s="372"/>
      <c r="AC20" s="19">
        <v>16</v>
      </c>
      <c r="AD20" s="8">
        <f>'Hourly Customer'!$D$29</f>
        <v>0</v>
      </c>
      <c r="AE20" s="9"/>
      <c r="AF20" s="20" t="e">
        <f t="shared" si="5"/>
        <v>#REF!</v>
      </c>
      <c r="AG20" s="372"/>
      <c r="AH20" s="19">
        <v>16</v>
      </c>
      <c r="AI20" s="8">
        <f>'Hourly Customer'!$D$29</f>
        <v>0</v>
      </c>
      <c r="AJ20" s="9"/>
      <c r="AK20" s="20" t="e">
        <f t="shared" si="6"/>
        <v>#REF!</v>
      </c>
      <c r="AL20" s="372"/>
      <c r="AM20" s="19">
        <v>16</v>
      </c>
      <c r="AN20" s="8">
        <f>'Hourly Customer'!$D$29</f>
        <v>0</v>
      </c>
      <c r="AO20" s="9"/>
      <c r="AP20" s="20" t="e">
        <f t="shared" si="7"/>
        <v>#REF!</v>
      </c>
      <c r="AQ20" s="372"/>
      <c r="AR20" s="19">
        <v>16</v>
      </c>
      <c r="AS20" s="8">
        <f>'Hourly Customer'!$D$29</f>
        <v>0</v>
      </c>
      <c r="AT20" s="9"/>
      <c r="AU20" s="20" t="e">
        <f t="shared" si="8"/>
        <v>#REF!</v>
      </c>
      <c r="AV20" s="372"/>
      <c r="AW20" s="19">
        <v>16</v>
      </c>
      <c r="AX20" s="8">
        <f>'Hourly Customer'!$D$29</f>
        <v>0</v>
      </c>
      <c r="AY20" s="9"/>
      <c r="AZ20" s="20" t="e">
        <f t="shared" si="9"/>
        <v>#REF!</v>
      </c>
      <c r="BA20" s="372"/>
      <c r="BB20" s="19">
        <v>16</v>
      </c>
      <c r="BC20" s="8">
        <f>'Hourly Customer'!$D$29</f>
        <v>0</v>
      </c>
      <c r="BD20" s="9"/>
      <c r="BE20" s="20" t="e">
        <f t="shared" si="10"/>
        <v>#REF!</v>
      </c>
      <c r="BF20" s="372"/>
      <c r="BG20" s="19">
        <v>16</v>
      </c>
      <c r="BH20" s="8">
        <f>'Hourly Customer'!$D$29</f>
        <v>0</v>
      </c>
      <c r="BI20" s="9"/>
      <c r="BJ20" s="20" t="e">
        <f t="shared" si="11"/>
        <v>#REF!</v>
      </c>
    </row>
    <row r="21" spans="1:62" x14ac:dyDescent="0.15">
      <c r="A21" s="6" t="s">
        <v>320</v>
      </c>
      <c r="B21" s="7" t="s">
        <v>211</v>
      </c>
      <c r="C21" s="375"/>
      <c r="D21" s="19">
        <v>17</v>
      </c>
      <c r="E21" s="8">
        <f>'Hourly Customer'!$D$29</f>
        <v>0</v>
      </c>
      <c r="F21" s="9" t="e">
        <f>'Monthly IS'!#REF!</f>
        <v>#REF!</v>
      </c>
      <c r="G21" s="20" t="e">
        <f t="shared" si="0"/>
        <v>#REF!</v>
      </c>
      <c r="H21" s="372"/>
      <c r="I21" s="19">
        <v>17</v>
      </c>
      <c r="J21" s="8">
        <f>'Hourly Customer'!$D$29</f>
        <v>0</v>
      </c>
      <c r="K21" s="9" t="e">
        <f>'Monthly IS'!#REF!</f>
        <v>#REF!</v>
      </c>
      <c r="L21" s="20" t="e">
        <f t="shared" si="1"/>
        <v>#REF!</v>
      </c>
      <c r="M21" s="372"/>
      <c r="N21" s="19">
        <v>17</v>
      </c>
      <c r="O21" s="8">
        <f>'Hourly Customer'!$D$29</f>
        <v>0</v>
      </c>
      <c r="P21" s="9" t="e">
        <f>'Monthly IS'!#REF!</f>
        <v>#REF!</v>
      </c>
      <c r="Q21" s="20" t="e">
        <f t="shared" si="2"/>
        <v>#REF!</v>
      </c>
      <c r="R21" s="372"/>
      <c r="S21" s="19">
        <v>17</v>
      </c>
      <c r="T21" s="8">
        <f>'Hourly Customer'!$D$29</f>
        <v>0</v>
      </c>
      <c r="U21" s="9" t="e">
        <f>'Monthly IS'!#REF!</f>
        <v>#REF!</v>
      </c>
      <c r="V21" s="20" t="e">
        <f t="shared" si="3"/>
        <v>#REF!</v>
      </c>
      <c r="W21" s="372"/>
      <c r="X21" s="19">
        <v>17</v>
      </c>
      <c r="Y21" s="8">
        <f>'Hourly Customer'!$D$29</f>
        <v>0</v>
      </c>
      <c r="Z21" s="9" t="e">
        <f>'Monthly IS'!#REF!</f>
        <v>#REF!</v>
      </c>
      <c r="AA21" s="20" t="e">
        <f t="shared" si="4"/>
        <v>#REF!</v>
      </c>
      <c r="AB21" s="372"/>
      <c r="AC21" s="19">
        <v>17</v>
      </c>
      <c r="AD21" s="8">
        <f>'Hourly Customer'!$D$29</f>
        <v>0</v>
      </c>
      <c r="AE21" s="9" t="e">
        <f>'Monthly IS'!#REF!</f>
        <v>#REF!</v>
      </c>
      <c r="AF21" s="20" t="e">
        <f t="shared" si="5"/>
        <v>#REF!</v>
      </c>
      <c r="AG21" s="372"/>
      <c r="AH21" s="19">
        <v>17</v>
      </c>
      <c r="AI21" s="8">
        <f>'Hourly Customer'!$D$29</f>
        <v>0</v>
      </c>
      <c r="AJ21" s="9" t="e">
        <f>'Monthly IS'!#REF!</f>
        <v>#REF!</v>
      </c>
      <c r="AK21" s="20" t="e">
        <f t="shared" si="6"/>
        <v>#REF!</v>
      </c>
      <c r="AL21" s="372"/>
      <c r="AM21" s="19">
        <v>17</v>
      </c>
      <c r="AN21" s="8">
        <f>'Hourly Customer'!$D$29</f>
        <v>0</v>
      </c>
      <c r="AO21" s="9" t="e">
        <f>'Monthly IS'!#REF!</f>
        <v>#REF!</v>
      </c>
      <c r="AP21" s="20" t="e">
        <f t="shared" si="7"/>
        <v>#REF!</v>
      </c>
      <c r="AQ21" s="372"/>
      <c r="AR21" s="19">
        <v>17</v>
      </c>
      <c r="AS21" s="8">
        <f>'Hourly Customer'!$D$29</f>
        <v>0</v>
      </c>
      <c r="AT21" s="9" t="e">
        <f>'Monthly IS'!#REF!</f>
        <v>#REF!</v>
      </c>
      <c r="AU21" s="20" t="e">
        <f t="shared" si="8"/>
        <v>#REF!</v>
      </c>
      <c r="AV21" s="372"/>
      <c r="AW21" s="19">
        <v>17</v>
      </c>
      <c r="AX21" s="8">
        <f>'Hourly Customer'!$D$29</f>
        <v>0</v>
      </c>
      <c r="AY21" s="9" t="e">
        <f>'Monthly IS'!#REF!</f>
        <v>#REF!</v>
      </c>
      <c r="AZ21" s="20" t="e">
        <f t="shared" si="9"/>
        <v>#REF!</v>
      </c>
      <c r="BA21" s="372"/>
      <c r="BB21" s="19">
        <v>17</v>
      </c>
      <c r="BC21" s="8">
        <f>'Hourly Customer'!$D$29</f>
        <v>0</v>
      </c>
      <c r="BD21" s="9" t="e">
        <f>'Monthly IS'!#REF!</f>
        <v>#REF!</v>
      </c>
      <c r="BE21" s="20" t="e">
        <f t="shared" si="10"/>
        <v>#REF!</v>
      </c>
      <c r="BF21" s="372"/>
      <c r="BG21" s="19">
        <v>17</v>
      </c>
      <c r="BH21" s="8">
        <f>'Hourly Customer'!$D$29</f>
        <v>0</v>
      </c>
      <c r="BI21" s="9" t="e">
        <f>'Monthly IS'!#REF!</f>
        <v>#REF!</v>
      </c>
      <c r="BJ21" s="20" t="e">
        <f t="shared" si="11"/>
        <v>#REF!</v>
      </c>
    </row>
    <row r="22" spans="1:62" x14ac:dyDescent="0.15">
      <c r="A22" s="6" t="s">
        <v>320</v>
      </c>
      <c r="B22" s="7"/>
      <c r="C22" s="375"/>
      <c r="D22" s="19">
        <v>18</v>
      </c>
      <c r="E22" s="8">
        <f>'Hourly Customer'!$D$29</f>
        <v>0</v>
      </c>
      <c r="F22" s="10"/>
      <c r="G22" s="20" t="e">
        <f t="shared" si="0"/>
        <v>#REF!</v>
      </c>
      <c r="H22" s="372"/>
      <c r="I22" s="19">
        <v>18</v>
      </c>
      <c r="J22" s="8">
        <f>'Hourly Customer'!$D$29</f>
        <v>0</v>
      </c>
      <c r="K22" s="10"/>
      <c r="L22" s="20" t="e">
        <f t="shared" si="1"/>
        <v>#REF!</v>
      </c>
      <c r="M22" s="372"/>
      <c r="N22" s="19">
        <v>18</v>
      </c>
      <c r="O22" s="8">
        <f>'Hourly Customer'!$D$29</f>
        <v>0</v>
      </c>
      <c r="P22" s="10"/>
      <c r="Q22" s="20" t="e">
        <f t="shared" si="2"/>
        <v>#REF!</v>
      </c>
      <c r="R22" s="372"/>
      <c r="S22" s="19">
        <v>18</v>
      </c>
      <c r="T22" s="8">
        <f>'Hourly Customer'!$D$29</f>
        <v>0</v>
      </c>
      <c r="U22" s="10"/>
      <c r="V22" s="20" t="e">
        <f t="shared" si="3"/>
        <v>#REF!</v>
      </c>
      <c r="W22" s="372"/>
      <c r="X22" s="19">
        <v>18</v>
      </c>
      <c r="Y22" s="8">
        <f>'Hourly Customer'!$D$29</f>
        <v>0</v>
      </c>
      <c r="Z22" s="10"/>
      <c r="AA22" s="20" t="e">
        <f t="shared" si="4"/>
        <v>#REF!</v>
      </c>
      <c r="AB22" s="372"/>
      <c r="AC22" s="19">
        <v>18</v>
      </c>
      <c r="AD22" s="8">
        <f>'Hourly Customer'!$D$29</f>
        <v>0</v>
      </c>
      <c r="AE22" s="10"/>
      <c r="AF22" s="20" t="e">
        <f t="shared" si="5"/>
        <v>#REF!</v>
      </c>
      <c r="AG22" s="372"/>
      <c r="AH22" s="19">
        <v>18</v>
      </c>
      <c r="AI22" s="8">
        <f>'Hourly Customer'!$D$29</f>
        <v>0</v>
      </c>
      <c r="AJ22" s="10"/>
      <c r="AK22" s="20" t="e">
        <f t="shared" si="6"/>
        <v>#REF!</v>
      </c>
      <c r="AL22" s="372"/>
      <c r="AM22" s="19">
        <v>18</v>
      </c>
      <c r="AN22" s="8">
        <f>'Hourly Customer'!$D$29</f>
        <v>0</v>
      </c>
      <c r="AO22" s="10"/>
      <c r="AP22" s="20" t="e">
        <f t="shared" si="7"/>
        <v>#REF!</v>
      </c>
      <c r="AQ22" s="372"/>
      <c r="AR22" s="19">
        <v>18</v>
      </c>
      <c r="AS22" s="8">
        <f>'Hourly Customer'!$D$29</f>
        <v>0</v>
      </c>
      <c r="AT22" s="10"/>
      <c r="AU22" s="20" t="e">
        <f t="shared" si="8"/>
        <v>#REF!</v>
      </c>
      <c r="AV22" s="372"/>
      <c r="AW22" s="19">
        <v>18</v>
      </c>
      <c r="AX22" s="8">
        <f>'Hourly Customer'!$D$29</f>
        <v>0</v>
      </c>
      <c r="AY22" s="10"/>
      <c r="AZ22" s="20" t="e">
        <f t="shared" si="9"/>
        <v>#REF!</v>
      </c>
      <c r="BA22" s="372"/>
      <c r="BB22" s="19">
        <v>18</v>
      </c>
      <c r="BC22" s="8">
        <f>'Hourly Customer'!$D$29</f>
        <v>0</v>
      </c>
      <c r="BD22" s="10"/>
      <c r="BE22" s="20" t="e">
        <f t="shared" si="10"/>
        <v>#REF!</v>
      </c>
      <c r="BF22" s="372"/>
      <c r="BG22" s="19">
        <v>18</v>
      </c>
      <c r="BH22" s="8">
        <f>'Hourly Customer'!$D$29</f>
        <v>0</v>
      </c>
      <c r="BI22" s="10"/>
      <c r="BJ22" s="20" t="e">
        <f t="shared" si="11"/>
        <v>#REF!</v>
      </c>
    </row>
    <row r="23" spans="1:62" x14ac:dyDescent="0.15">
      <c r="A23" s="6" t="s">
        <v>320</v>
      </c>
      <c r="B23" s="7"/>
      <c r="C23" s="375"/>
      <c r="D23" s="19">
        <v>19</v>
      </c>
      <c r="E23" s="8">
        <f>'Hourly Customer'!$D$29</f>
        <v>0</v>
      </c>
      <c r="F23" s="9"/>
      <c r="G23" s="20" t="e">
        <f t="shared" si="0"/>
        <v>#REF!</v>
      </c>
      <c r="H23" s="372"/>
      <c r="I23" s="19">
        <v>19</v>
      </c>
      <c r="J23" s="8">
        <f>'Hourly Customer'!$D$29</f>
        <v>0</v>
      </c>
      <c r="K23" s="9"/>
      <c r="L23" s="20" t="e">
        <f t="shared" si="1"/>
        <v>#REF!</v>
      </c>
      <c r="M23" s="372"/>
      <c r="N23" s="19">
        <v>19</v>
      </c>
      <c r="O23" s="8">
        <f>'Hourly Customer'!$D$29</f>
        <v>0</v>
      </c>
      <c r="P23" s="9"/>
      <c r="Q23" s="20" t="e">
        <f t="shared" si="2"/>
        <v>#REF!</v>
      </c>
      <c r="R23" s="372"/>
      <c r="S23" s="19">
        <v>19</v>
      </c>
      <c r="T23" s="8">
        <f>'Hourly Customer'!$D$29</f>
        <v>0</v>
      </c>
      <c r="U23" s="9"/>
      <c r="V23" s="20" t="e">
        <f t="shared" si="3"/>
        <v>#REF!</v>
      </c>
      <c r="W23" s="372"/>
      <c r="X23" s="19">
        <v>19</v>
      </c>
      <c r="Y23" s="8">
        <f>'Hourly Customer'!$D$29</f>
        <v>0</v>
      </c>
      <c r="Z23" s="9"/>
      <c r="AA23" s="20" t="e">
        <f t="shared" si="4"/>
        <v>#REF!</v>
      </c>
      <c r="AB23" s="372"/>
      <c r="AC23" s="19">
        <v>19</v>
      </c>
      <c r="AD23" s="8">
        <f>'Hourly Customer'!$D$29</f>
        <v>0</v>
      </c>
      <c r="AE23" s="9"/>
      <c r="AF23" s="20" t="e">
        <f t="shared" si="5"/>
        <v>#REF!</v>
      </c>
      <c r="AG23" s="372"/>
      <c r="AH23" s="19">
        <v>19</v>
      </c>
      <c r="AI23" s="8">
        <f>'Hourly Customer'!$D$29</f>
        <v>0</v>
      </c>
      <c r="AJ23" s="9"/>
      <c r="AK23" s="20" t="e">
        <f t="shared" si="6"/>
        <v>#REF!</v>
      </c>
      <c r="AL23" s="372"/>
      <c r="AM23" s="19">
        <v>19</v>
      </c>
      <c r="AN23" s="8">
        <f>'Hourly Customer'!$D$29</f>
        <v>0</v>
      </c>
      <c r="AO23" s="9"/>
      <c r="AP23" s="20" t="e">
        <f t="shared" si="7"/>
        <v>#REF!</v>
      </c>
      <c r="AQ23" s="372"/>
      <c r="AR23" s="19">
        <v>19</v>
      </c>
      <c r="AS23" s="8">
        <f>'Hourly Customer'!$D$29</f>
        <v>0</v>
      </c>
      <c r="AT23" s="9"/>
      <c r="AU23" s="20" t="e">
        <f t="shared" si="8"/>
        <v>#REF!</v>
      </c>
      <c r="AV23" s="372"/>
      <c r="AW23" s="19">
        <v>19</v>
      </c>
      <c r="AX23" s="8">
        <f>'Hourly Customer'!$D$29</f>
        <v>0</v>
      </c>
      <c r="AY23" s="9"/>
      <c r="AZ23" s="20" t="e">
        <f t="shared" si="9"/>
        <v>#REF!</v>
      </c>
      <c r="BA23" s="372"/>
      <c r="BB23" s="19">
        <v>19</v>
      </c>
      <c r="BC23" s="8">
        <f>'Hourly Customer'!$D$29</f>
        <v>0</v>
      </c>
      <c r="BD23" s="9"/>
      <c r="BE23" s="20" t="e">
        <f t="shared" si="10"/>
        <v>#REF!</v>
      </c>
      <c r="BF23" s="372"/>
      <c r="BG23" s="19">
        <v>19</v>
      </c>
      <c r="BH23" s="8">
        <f>'Hourly Customer'!$D$29</f>
        <v>0</v>
      </c>
      <c r="BI23" s="9"/>
      <c r="BJ23" s="20" t="e">
        <f t="shared" si="11"/>
        <v>#REF!</v>
      </c>
    </row>
    <row r="24" spans="1:62" x14ac:dyDescent="0.15">
      <c r="A24" s="6" t="s">
        <v>320</v>
      </c>
      <c r="B24" s="7"/>
      <c r="C24" s="375"/>
      <c r="D24" s="19">
        <v>20</v>
      </c>
      <c r="E24" s="8">
        <f>'Hourly Customer'!$D$29</f>
        <v>0</v>
      </c>
      <c r="F24" s="9"/>
      <c r="G24" s="20" t="e">
        <f t="shared" si="0"/>
        <v>#REF!</v>
      </c>
      <c r="H24" s="372"/>
      <c r="I24" s="19">
        <v>20</v>
      </c>
      <c r="J24" s="8">
        <f>'Hourly Customer'!$D$29</f>
        <v>0</v>
      </c>
      <c r="K24" s="9"/>
      <c r="L24" s="20" t="e">
        <f t="shared" si="1"/>
        <v>#REF!</v>
      </c>
      <c r="M24" s="372"/>
      <c r="N24" s="19">
        <v>20</v>
      </c>
      <c r="O24" s="8">
        <f>'Hourly Customer'!$D$29</f>
        <v>0</v>
      </c>
      <c r="P24" s="9"/>
      <c r="Q24" s="20" t="e">
        <f t="shared" si="2"/>
        <v>#REF!</v>
      </c>
      <c r="R24" s="372"/>
      <c r="S24" s="19">
        <v>20</v>
      </c>
      <c r="T24" s="8">
        <f>'Hourly Customer'!$D$29</f>
        <v>0</v>
      </c>
      <c r="U24" s="9"/>
      <c r="V24" s="20" t="e">
        <f t="shared" si="3"/>
        <v>#REF!</v>
      </c>
      <c r="W24" s="372"/>
      <c r="X24" s="19">
        <v>20</v>
      </c>
      <c r="Y24" s="8">
        <f>'Hourly Customer'!$D$29</f>
        <v>0</v>
      </c>
      <c r="Z24" s="9"/>
      <c r="AA24" s="20" t="e">
        <f t="shared" si="4"/>
        <v>#REF!</v>
      </c>
      <c r="AB24" s="372"/>
      <c r="AC24" s="19">
        <v>20</v>
      </c>
      <c r="AD24" s="8">
        <f>'Hourly Customer'!$D$29</f>
        <v>0</v>
      </c>
      <c r="AE24" s="9"/>
      <c r="AF24" s="20" t="e">
        <f t="shared" si="5"/>
        <v>#REF!</v>
      </c>
      <c r="AG24" s="372"/>
      <c r="AH24" s="19">
        <v>20</v>
      </c>
      <c r="AI24" s="8">
        <f>'Hourly Customer'!$D$29</f>
        <v>0</v>
      </c>
      <c r="AJ24" s="9"/>
      <c r="AK24" s="20" t="e">
        <f t="shared" si="6"/>
        <v>#REF!</v>
      </c>
      <c r="AL24" s="372"/>
      <c r="AM24" s="19">
        <v>20</v>
      </c>
      <c r="AN24" s="8">
        <f>'Hourly Customer'!$D$29</f>
        <v>0</v>
      </c>
      <c r="AO24" s="9"/>
      <c r="AP24" s="20" t="e">
        <f t="shared" si="7"/>
        <v>#REF!</v>
      </c>
      <c r="AQ24" s="372"/>
      <c r="AR24" s="19">
        <v>20</v>
      </c>
      <c r="AS24" s="8">
        <f>'Hourly Customer'!$D$29</f>
        <v>0</v>
      </c>
      <c r="AT24" s="9"/>
      <c r="AU24" s="20" t="e">
        <f t="shared" si="8"/>
        <v>#REF!</v>
      </c>
      <c r="AV24" s="372"/>
      <c r="AW24" s="19">
        <v>20</v>
      </c>
      <c r="AX24" s="8">
        <f>'Hourly Customer'!$D$29</f>
        <v>0</v>
      </c>
      <c r="AY24" s="9"/>
      <c r="AZ24" s="20" t="e">
        <f t="shared" si="9"/>
        <v>#REF!</v>
      </c>
      <c r="BA24" s="372"/>
      <c r="BB24" s="19">
        <v>20</v>
      </c>
      <c r="BC24" s="8">
        <f>'Hourly Customer'!$D$29</f>
        <v>0</v>
      </c>
      <c r="BD24" s="9"/>
      <c r="BE24" s="20" t="e">
        <f t="shared" si="10"/>
        <v>#REF!</v>
      </c>
      <c r="BF24" s="372"/>
      <c r="BG24" s="19">
        <v>20</v>
      </c>
      <c r="BH24" s="8">
        <f>'Hourly Customer'!$D$29</f>
        <v>0</v>
      </c>
      <c r="BI24" s="9"/>
      <c r="BJ24" s="20" t="e">
        <f t="shared" si="11"/>
        <v>#REF!</v>
      </c>
    </row>
    <row r="25" spans="1:62" x14ac:dyDescent="0.15">
      <c r="A25" s="6" t="s">
        <v>320</v>
      </c>
      <c r="B25" s="7"/>
      <c r="C25" s="376"/>
      <c r="D25" s="19">
        <v>21</v>
      </c>
      <c r="E25" s="8">
        <f>'Hourly Customer'!$D$29</f>
        <v>0</v>
      </c>
      <c r="F25" s="9"/>
      <c r="G25" s="20" t="e">
        <f t="shared" si="0"/>
        <v>#REF!</v>
      </c>
      <c r="H25" s="373"/>
      <c r="I25" s="19">
        <v>21</v>
      </c>
      <c r="J25" s="8">
        <f>'Hourly Customer'!$D$29</f>
        <v>0</v>
      </c>
      <c r="K25" s="9"/>
      <c r="L25" s="20" t="e">
        <f t="shared" si="1"/>
        <v>#REF!</v>
      </c>
      <c r="M25" s="373"/>
      <c r="N25" s="19">
        <v>21</v>
      </c>
      <c r="O25" s="8">
        <f>'Hourly Customer'!$D$29</f>
        <v>0</v>
      </c>
      <c r="P25" s="9"/>
      <c r="Q25" s="20" t="e">
        <f t="shared" si="2"/>
        <v>#REF!</v>
      </c>
      <c r="R25" s="373"/>
      <c r="S25" s="19">
        <v>21</v>
      </c>
      <c r="T25" s="8">
        <f>'Hourly Customer'!$D$29</f>
        <v>0</v>
      </c>
      <c r="U25" s="9"/>
      <c r="V25" s="20" t="e">
        <f t="shared" si="3"/>
        <v>#REF!</v>
      </c>
      <c r="W25" s="373"/>
      <c r="X25" s="19">
        <v>21</v>
      </c>
      <c r="Y25" s="8">
        <f>'Hourly Customer'!$D$29</f>
        <v>0</v>
      </c>
      <c r="Z25" s="9"/>
      <c r="AA25" s="20" t="e">
        <f t="shared" si="4"/>
        <v>#REF!</v>
      </c>
      <c r="AB25" s="373"/>
      <c r="AC25" s="19">
        <v>21</v>
      </c>
      <c r="AD25" s="8">
        <f>'Hourly Customer'!$D$29</f>
        <v>0</v>
      </c>
      <c r="AE25" s="9"/>
      <c r="AF25" s="20" t="e">
        <f t="shared" si="5"/>
        <v>#REF!</v>
      </c>
      <c r="AG25" s="373"/>
      <c r="AH25" s="19">
        <v>21</v>
      </c>
      <c r="AI25" s="8">
        <f>'Hourly Customer'!$D$29</f>
        <v>0</v>
      </c>
      <c r="AJ25" s="9"/>
      <c r="AK25" s="20" t="e">
        <f t="shared" si="6"/>
        <v>#REF!</v>
      </c>
      <c r="AL25" s="373"/>
      <c r="AM25" s="19">
        <v>21</v>
      </c>
      <c r="AN25" s="8">
        <f>'Hourly Customer'!$D$29</f>
        <v>0</v>
      </c>
      <c r="AO25" s="9"/>
      <c r="AP25" s="20" t="e">
        <f t="shared" si="7"/>
        <v>#REF!</v>
      </c>
      <c r="AQ25" s="373"/>
      <c r="AR25" s="19">
        <v>21</v>
      </c>
      <c r="AS25" s="8">
        <f>'Hourly Customer'!$D$29</f>
        <v>0</v>
      </c>
      <c r="AT25" s="9"/>
      <c r="AU25" s="20" t="e">
        <f t="shared" si="8"/>
        <v>#REF!</v>
      </c>
      <c r="AV25" s="373"/>
      <c r="AW25" s="19">
        <v>21</v>
      </c>
      <c r="AX25" s="8">
        <f>'Hourly Customer'!$D$29</f>
        <v>0</v>
      </c>
      <c r="AY25" s="9"/>
      <c r="AZ25" s="20" t="e">
        <f t="shared" si="9"/>
        <v>#REF!</v>
      </c>
      <c r="BA25" s="373"/>
      <c r="BB25" s="19">
        <v>21</v>
      </c>
      <c r="BC25" s="8">
        <f>'Hourly Customer'!$D$29</f>
        <v>0</v>
      </c>
      <c r="BD25" s="9"/>
      <c r="BE25" s="20" t="e">
        <f t="shared" si="10"/>
        <v>#REF!</v>
      </c>
      <c r="BF25" s="373"/>
      <c r="BG25" s="19">
        <v>21</v>
      </c>
      <c r="BH25" s="8">
        <f>'Hourly Customer'!$D$29</f>
        <v>0</v>
      </c>
      <c r="BI25" s="9"/>
      <c r="BJ25" s="20" t="e">
        <f t="shared" si="11"/>
        <v>#REF!</v>
      </c>
    </row>
    <row r="26" spans="1:62" x14ac:dyDescent="0.15">
      <c r="A26" s="6" t="s">
        <v>320</v>
      </c>
      <c r="B26" s="7" t="s">
        <v>327</v>
      </c>
      <c r="C26" s="374" t="s">
        <v>328</v>
      </c>
      <c r="D26" s="19">
        <v>22</v>
      </c>
      <c r="E26" s="8">
        <f>'Hourly Customer'!$D$29</f>
        <v>0</v>
      </c>
      <c r="F26" s="9" t="e">
        <f>'Monthly IS'!#REF!</f>
        <v>#REF!</v>
      </c>
      <c r="G26" s="20" t="e">
        <f t="shared" si="0"/>
        <v>#REF!</v>
      </c>
      <c r="H26" s="371" t="s">
        <v>328</v>
      </c>
      <c r="I26" s="19">
        <v>22</v>
      </c>
      <c r="J26" s="8">
        <f>'Hourly Customer'!$D$29</f>
        <v>0</v>
      </c>
      <c r="K26" s="9" t="e">
        <f>'Monthly IS'!#REF!</f>
        <v>#REF!</v>
      </c>
      <c r="L26" s="20" t="e">
        <f t="shared" si="1"/>
        <v>#REF!</v>
      </c>
      <c r="M26" s="371" t="s">
        <v>328</v>
      </c>
      <c r="N26" s="19">
        <v>22</v>
      </c>
      <c r="O26" s="8">
        <f>'Hourly Customer'!$D$29</f>
        <v>0</v>
      </c>
      <c r="P26" s="9" t="e">
        <f>'Monthly IS'!#REF!</f>
        <v>#REF!</v>
      </c>
      <c r="Q26" s="20" t="e">
        <f t="shared" si="2"/>
        <v>#REF!</v>
      </c>
      <c r="R26" s="371" t="s">
        <v>328</v>
      </c>
      <c r="S26" s="19">
        <v>22</v>
      </c>
      <c r="T26" s="8">
        <f>'Hourly Customer'!$D$29</f>
        <v>0</v>
      </c>
      <c r="U26" s="9" t="e">
        <f>'Monthly IS'!#REF!</f>
        <v>#REF!</v>
      </c>
      <c r="V26" s="20" t="e">
        <f t="shared" si="3"/>
        <v>#REF!</v>
      </c>
      <c r="W26" s="371" t="s">
        <v>328</v>
      </c>
      <c r="X26" s="19">
        <v>22</v>
      </c>
      <c r="Y26" s="8">
        <f>'Hourly Customer'!$D$29</f>
        <v>0</v>
      </c>
      <c r="Z26" s="9" t="e">
        <f>'Monthly IS'!#REF!</f>
        <v>#REF!</v>
      </c>
      <c r="AA26" s="20" t="e">
        <f t="shared" si="4"/>
        <v>#REF!</v>
      </c>
      <c r="AB26" s="371" t="s">
        <v>328</v>
      </c>
      <c r="AC26" s="19">
        <v>22</v>
      </c>
      <c r="AD26" s="8">
        <f>'Hourly Customer'!$D$29</f>
        <v>0</v>
      </c>
      <c r="AE26" s="9" t="e">
        <f>'Monthly IS'!#REF!</f>
        <v>#REF!</v>
      </c>
      <c r="AF26" s="20" t="e">
        <f t="shared" si="5"/>
        <v>#REF!</v>
      </c>
      <c r="AG26" s="371" t="s">
        <v>328</v>
      </c>
      <c r="AH26" s="19">
        <v>22</v>
      </c>
      <c r="AI26" s="8">
        <f>'Hourly Customer'!$D$29</f>
        <v>0</v>
      </c>
      <c r="AJ26" s="9" t="e">
        <f>'Monthly IS'!#REF!</f>
        <v>#REF!</v>
      </c>
      <c r="AK26" s="20" t="e">
        <f t="shared" si="6"/>
        <v>#REF!</v>
      </c>
      <c r="AL26" s="371" t="s">
        <v>328</v>
      </c>
      <c r="AM26" s="19">
        <v>22</v>
      </c>
      <c r="AN26" s="8">
        <f>'Hourly Customer'!$D$29</f>
        <v>0</v>
      </c>
      <c r="AO26" s="9" t="e">
        <f>'Monthly IS'!#REF!</f>
        <v>#REF!</v>
      </c>
      <c r="AP26" s="20" t="e">
        <f t="shared" si="7"/>
        <v>#REF!</v>
      </c>
      <c r="AQ26" s="371" t="s">
        <v>328</v>
      </c>
      <c r="AR26" s="19">
        <v>22</v>
      </c>
      <c r="AS26" s="8">
        <f>'Hourly Customer'!$D$29</f>
        <v>0</v>
      </c>
      <c r="AT26" s="9" t="e">
        <f>'Monthly IS'!#REF!</f>
        <v>#REF!</v>
      </c>
      <c r="AU26" s="20" t="e">
        <f t="shared" si="8"/>
        <v>#REF!</v>
      </c>
      <c r="AV26" s="371" t="s">
        <v>328</v>
      </c>
      <c r="AW26" s="19">
        <v>22</v>
      </c>
      <c r="AX26" s="8">
        <f>'Hourly Customer'!$D$29</f>
        <v>0</v>
      </c>
      <c r="AY26" s="9" t="e">
        <f>'Monthly IS'!#REF!</f>
        <v>#REF!</v>
      </c>
      <c r="AZ26" s="20" t="e">
        <f t="shared" si="9"/>
        <v>#REF!</v>
      </c>
      <c r="BA26" s="371" t="s">
        <v>328</v>
      </c>
      <c r="BB26" s="19">
        <v>22</v>
      </c>
      <c r="BC26" s="8">
        <f>'Hourly Customer'!$D$29</f>
        <v>0</v>
      </c>
      <c r="BD26" s="9" t="e">
        <f>'Monthly IS'!#REF!</f>
        <v>#REF!</v>
      </c>
      <c r="BE26" s="20" t="e">
        <f t="shared" si="10"/>
        <v>#REF!</v>
      </c>
      <c r="BF26" s="371" t="s">
        <v>328</v>
      </c>
      <c r="BG26" s="19">
        <v>22</v>
      </c>
      <c r="BH26" s="8">
        <f>'Hourly Customer'!$D$29</f>
        <v>0</v>
      </c>
      <c r="BI26" s="9" t="e">
        <f>'Monthly IS'!#REF!</f>
        <v>#REF!</v>
      </c>
      <c r="BJ26" s="20" t="e">
        <f t="shared" si="11"/>
        <v>#REF!</v>
      </c>
    </row>
    <row r="27" spans="1:62" x14ac:dyDescent="0.15">
      <c r="A27" s="6" t="s">
        <v>320</v>
      </c>
      <c r="B27" s="7"/>
      <c r="C27" s="375"/>
      <c r="D27" s="19">
        <v>23</v>
      </c>
      <c r="E27" s="8">
        <f>'Hourly Customer'!$D$29</f>
        <v>0</v>
      </c>
      <c r="F27" s="9"/>
      <c r="G27" s="20" t="e">
        <f t="shared" si="0"/>
        <v>#REF!</v>
      </c>
      <c r="H27" s="372"/>
      <c r="I27" s="19">
        <v>23</v>
      </c>
      <c r="J27" s="8">
        <f>'Hourly Customer'!$D$29</f>
        <v>0</v>
      </c>
      <c r="K27" s="9"/>
      <c r="L27" s="20" t="e">
        <f t="shared" si="1"/>
        <v>#REF!</v>
      </c>
      <c r="M27" s="372"/>
      <c r="N27" s="19">
        <v>23</v>
      </c>
      <c r="O27" s="8">
        <f>'Hourly Customer'!$D$29</f>
        <v>0</v>
      </c>
      <c r="P27" s="9"/>
      <c r="Q27" s="20" t="e">
        <f t="shared" si="2"/>
        <v>#REF!</v>
      </c>
      <c r="R27" s="372"/>
      <c r="S27" s="19">
        <v>23</v>
      </c>
      <c r="T27" s="8">
        <f>'Hourly Customer'!$D$29</f>
        <v>0</v>
      </c>
      <c r="U27" s="9"/>
      <c r="V27" s="20" t="e">
        <f t="shared" si="3"/>
        <v>#REF!</v>
      </c>
      <c r="W27" s="372"/>
      <c r="X27" s="19">
        <v>23</v>
      </c>
      <c r="Y27" s="8">
        <f>'Hourly Customer'!$D$29</f>
        <v>0</v>
      </c>
      <c r="Z27" s="9"/>
      <c r="AA27" s="20" t="e">
        <f t="shared" si="4"/>
        <v>#REF!</v>
      </c>
      <c r="AB27" s="372"/>
      <c r="AC27" s="19">
        <v>23</v>
      </c>
      <c r="AD27" s="8">
        <f>'Hourly Customer'!$D$29</f>
        <v>0</v>
      </c>
      <c r="AE27" s="9"/>
      <c r="AF27" s="20" t="e">
        <f t="shared" si="5"/>
        <v>#REF!</v>
      </c>
      <c r="AG27" s="372"/>
      <c r="AH27" s="19">
        <v>23</v>
      </c>
      <c r="AI27" s="8">
        <f>'Hourly Customer'!$D$29</f>
        <v>0</v>
      </c>
      <c r="AJ27" s="9"/>
      <c r="AK27" s="20" t="e">
        <f t="shared" si="6"/>
        <v>#REF!</v>
      </c>
      <c r="AL27" s="372"/>
      <c r="AM27" s="19">
        <v>23</v>
      </c>
      <c r="AN27" s="8">
        <f>'Hourly Customer'!$D$29</f>
        <v>0</v>
      </c>
      <c r="AO27" s="9"/>
      <c r="AP27" s="20" t="e">
        <f t="shared" si="7"/>
        <v>#REF!</v>
      </c>
      <c r="AQ27" s="372"/>
      <c r="AR27" s="19">
        <v>23</v>
      </c>
      <c r="AS27" s="8">
        <f>'Hourly Customer'!$D$29</f>
        <v>0</v>
      </c>
      <c r="AT27" s="9"/>
      <c r="AU27" s="20" t="e">
        <f t="shared" si="8"/>
        <v>#REF!</v>
      </c>
      <c r="AV27" s="372"/>
      <c r="AW27" s="19">
        <v>23</v>
      </c>
      <c r="AX27" s="8">
        <f>'Hourly Customer'!$D$29</f>
        <v>0</v>
      </c>
      <c r="AY27" s="9"/>
      <c r="AZ27" s="20" t="e">
        <f t="shared" si="9"/>
        <v>#REF!</v>
      </c>
      <c r="BA27" s="372"/>
      <c r="BB27" s="19">
        <v>23</v>
      </c>
      <c r="BC27" s="8">
        <f>'Hourly Customer'!$D$29</f>
        <v>0</v>
      </c>
      <c r="BD27" s="9"/>
      <c r="BE27" s="20" t="e">
        <f t="shared" si="10"/>
        <v>#REF!</v>
      </c>
      <c r="BF27" s="372"/>
      <c r="BG27" s="19">
        <v>23</v>
      </c>
      <c r="BH27" s="8">
        <f>'Hourly Customer'!$D$29</f>
        <v>0</v>
      </c>
      <c r="BI27" s="9"/>
      <c r="BJ27" s="20" t="e">
        <f t="shared" si="11"/>
        <v>#REF!</v>
      </c>
    </row>
    <row r="28" spans="1:62" x14ac:dyDescent="0.15">
      <c r="A28" s="6" t="s">
        <v>320</v>
      </c>
      <c r="B28" s="7"/>
      <c r="C28" s="375"/>
      <c r="D28" s="19">
        <v>24</v>
      </c>
      <c r="E28" s="8">
        <f>'Hourly Customer'!$D$29</f>
        <v>0</v>
      </c>
      <c r="F28" s="9"/>
      <c r="G28" s="20" t="e">
        <f t="shared" si="0"/>
        <v>#REF!</v>
      </c>
      <c r="H28" s="372"/>
      <c r="I28" s="19">
        <v>24</v>
      </c>
      <c r="J28" s="8">
        <f>'Hourly Customer'!$D$29</f>
        <v>0</v>
      </c>
      <c r="K28" s="9"/>
      <c r="L28" s="20" t="e">
        <f t="shared" si="1"/>
        <v>#REF!</v>
      </c>
      <c r="M28" s="372"/>
      <c r="N28" s="19">
        <v>24</v>
      </c>
      <c r="O28" s="8">
        <f>'Hourly Customer'!$D$29</f>
        <v>0</v>
      </c>
      <c r="P28" s="9"/>
      <c r="Q28" s="20" t="e">
        <f t="shared" si="2"/>
        <v>#REF!</v>
      </c>
      <c r="R28" s="372"/>
      <c r="S28" s="19">
        <v>24</v>
      </c>
      <c r="T28" s="8">
        <f>'Hourly Customer'!$D$29</f>
        <v>0</v>
      </c>
      <c r="U28" s="9"/>
      <c r="V28" s="20" t="e">
        <f t="shared" si="3"/>
        <v>#REF!</v>
      </c>
      <c r="W28" s="372"/>
      <c r="X28" s="19">
        <v>24</v>
      </c>
      <c r="Y28" s="8">
        <f>'Hourly Customer'!$D$29</f>
        <v>0</v>
      </c>
      <c r="Z28" s="9"/>
      <c r="AA28" s="20" t="e">
        <f t="shared" si="4"/>
        <v>#REF!</v>
      </c>
      <c r="AB28" s="372"/>
      <c r="AC28" s="19">
        <v>24</v>
      </c>
      <c r="AD28" s="8">
        <f>'Hourly Customer'!$D$29</f>
        <v>0</v>
      </c>
      <c r="AE28" s="9"/>
      <c r="AF28" s="20" t="e">
        <f t="shared" si="5"/>
        <v>#REF!</v>
      </c>
      <c r="AG28" s="372"/>
      <c r="AH28" s="19">
        <v>24</v>
      </c>
      <c r="AI28" s="8">
        <f>'Hourly Customer'!$D$29</f>
        <v>0</v>
      </c>
      <c r="AJ28" s="9"/>
      <c r="AK28" s="20" t="e">
        <f t="shared" si="6"/>
        <v>#REF!</v>
      </c>
      <c r="AL28" s="372"/>
      <c r="AM28" s="19">
        <v>24</v>
      </c>
      <c r="AN28" s="8">
        <f>'Hourly Customer'!$D$29</f>
        <v>0</v>
      </c>
      <c r="AO28" s="9"/>
      <c r="AP28" s="20" t="e">
        <f t="shared" si="7"/>
        <v>#REF!</v>
      </c>
      <c r="AQ28" s="372"/>
      <c r="AR28" s="19">
        <v>24</v>
      </c>
      <c r="AS28" s="8">
        <f>'Hourly Customer'!$D$29</f>
        <v>0</v>
      </c>
      <c r="AT28" s="9"/>
      <c r="AU28" s="20" t="e">
        <f t="shared" si="8"/>
        <v>#REF!</v>
      </c>
      <c r="AV28" s="372"/>
      <c r="AW28" s="19">
        <v>24</v>
      </c>
      <c r="AX28" s="8">
        <f>'Hourly Customer'!$D$29</f>
        <v>0</v>
      </c>
      <c r="AY28" s="9"/>
      <c r="AZ28" s="20" t="e">
        <f t="shared" si="9"/>
        <v>#REF!</v>
      </c>
      <c r="BA28" s="372"/>
      <c r="BB28" s="19">
        <v>24</v>
      </c>
      <c r="BC28" s="8">
        <f>'Hourly Customer'!$D$29</f>
        <v>0</v>
      </c>
      <c r="BD28" s="9"/>
      <c r="BE28" s="20" t="e">
        <f t="shared" si="10"/>
        <v>#REF!</v>
      </c>
      <c r="BF28" s="372"/>
      <c r="BG28" s="19">
        <v>24</v>
      </c>
      <c r="BH28" s="8">
        <f>'Hourly Customer'!$D$29</f>
        <v>0</v>
      </c>
      <c r="BI28" s="9"/>
      <c r="BJ28" s="20" t="e">
        <f t="shared" si="11"/>
        <v>#REF!</v>
      </c>
    </row>
    <row r="29" spans="1:62" x14ac:dyDescent="0.15">
      <c r="A29" s="6" t="s">
        <v>320</v>
      </c>
      <c r="B29" s="7" t="s">
        <v>329</v>
      </c>
      <c r="C29" s="375"/>
      <c r="D29" s="19">
        <v>25</v>
      </c>
      <c r="E29" s="8">
        <f>'Hourly Customer'!$D$29</f>
        <v>0</v>
      </c>
      <c r="F29" s="9" t="e">
        <f>'Monthly IS'!#REF!</f>
        <v>#REF!</v>
      </c>
      <c r="G29" s="20" t="e">
        <f t="shared" si="0"/>
        <v>#REF!</v>
      </c>
      <c r="H29" s="372"/>
      <c r="I29" s="19">
        <v>25</v>
      </c>
      <c r="J29" s="8">
        <f>'Hourly Customer'!$D$29</f>
        <v>0</v>
      </c>
      <c r="K29" s="9" t="e">
        <f>'Monthly IS'!#REF!</f>
        <v>#REF!</v>
      </c>
      <c r="L29" s="20" t="e">
        <f t="shared" si="1"/>
        <v>#REF!</v>
      </c>
      <c r="M29" s="372"/>
      <c r="N29" s="19">
        <v>25</v>
      </c>
      <c r="O29" s="8">
        <f>'Hourly Customer'!$D$29</f>
        <v>0</v>
      </c>
      <c r="P29" s="9" t="e">
        <f>'Monthly IS'!#REF!</f>
        <v>#REF!</v>
      </c>
      <c r="Q29" s="20" t="e">
        <f t="shared" si="2"/>
        <v>#REF!</v>
      </c>
      <c r="R29" s="372"/>
      <c r="S29" s="19">
        <v>25</v>
      </c>
      <c r="T29" s="8">
        <f>'Hourly Customer'!$D$29</f>
        <v>0</v>
      </c>
      <c r="U29" s="9" t="e">
        <f>'Monthly IS'!#REF!</f>
        <v>#REF!</v>
      </c>
      <c r="V29" s="20" t="e">
        <f t="shared" si="3"/>
        <v>#REF!</v>
      </c>
      <c r="W29" s="372"/>
      <c r="X29" s="19">
        <v>25</v>
      </c>
      <c r="Y29" s="8">
        <f>'Hourly Customer'!$D$29</f>
        <v>0</v>
      </c>
      <c r="Z29" s="9" t="e">
        <f>'Monthly IS'!#REF!</f>
        <v>#REF!</v>
      </c>
      <c r="AA29" s="20" t="e">
        <f t="shared" si="4"/>
        <v>#REF!</v>
      </c>
      <c r="AB29" s="372"/>
      <c r="AC29" s="19">
        <v>25</v>
      </c>
      <c r="AD29" s="8">
        <f>'Hourly Customer'!$D$29</f>
        <v>0</v>
      </c>
      <c r="AE29" s="9" t="e">
        <f>'Monthly IS'!#REF!</f>
        <v>#REF!</v>
      </c>
      <c r="AF29" s="20" t="e">
        <f t="shared" si="5"/>
        <v>#REF!</v>
      </c>
      <c r="AG29" s="372"/>
      <c r="AH29" s="19">
        <v>25</v>
      </c>
      <c r="AI29" s="8">
        <f>'Hourly Customer'!$D$29</f>
        <v>0</v>
      </c>
      <c r="AJ29" s="9" t="e">
        <f>'Monthly IS'!#REF!</f>
        <v>#REF!</v>
      </c>
      <c r="AK29" s="20" t="e">
        <f t="shared" si="6"/>
        <v>#REF!</v>
      </c>
      <c r="AL29" s="372"/>
      <c r="AM29" s="19">
        <v>25</v>
      </c>
      <c r="AN29" s="8">
        <f>'Hourly Customer'!$D$29</f>
        <v>0</v>
      </c>
      <c r="AO29" s="9" t="e">
        <f>'Monthly IS'!#REF!</f>
        <v>#REF!</v>
      </c>
      <c r="AP29" s="20" t="e">
        <f t="shared" si="7"/>
        <v>#REF!</v>
      </c>
      <c r="AQ29" s="372"/>
      <c r="AR29" s="19">
        <v>25</v>
      </c>
      <c r="AS29" s="8">
        <f>'Hourly Customer'!$D$29</f>
        <v>0</v>
      </c>
      <c r="AT29" s="9" t="e">
        <f>'Monthly IS'!#REF!</f>
        <v>#REF!</v>
      </c>
      <c r="AU29" s="20" t="e">
        <f t="shared" si="8"/>
        <v>#REF!</v>
      </c>
      <c r="AV29" s="372"/>
      <c r="AW29" s="19">
        <v>25</v>
      </c>
      <c r="AX29" s="8">
        <f>'Hourly Customer'!$D$29</f>
        <v>0</v>
      </c>
      <c r="AY29" s="9" t="e">
        <f>'Monthly IS'!#REF!</f>
        <v>#REF!</v>
      </c>
      <c r="AZ29" s="20" t="e">
        <f t="shared" si="9"/>
        <v>#REF!</v>
      </c>
      <c r="BA29" s="372"/>
      <c r="BB29" s="19">
        <v>25</v>
      </c>
      <c r="BC29" s="8">
        <f>'Hourly Customer'!$D$29</f>
        <v>0</v>
      </c>
      <c r="BD29" s="9" t="e">
        <f>'Monthly IS'!#REF!</f>
        <v>#REF!</v>
      </c>
      <c r="BE29" s="20" t="e">
        <f t="shared" si="10"/>
        <v>#REF!</v>
      </c>
      <c r="BF29" s="372"/>
      <c r="BG29" s="19">
        <v>25</v>
      </c>
      <c r="BH29" s="8">
        <f>'Hourly Customer'!$D$29</f>
        <v>0</v>
      </c>
      <c r="BI29" s="9" t="e">
        <f>'Monthly IS'!#REF!</f>
        <v>#REF!</v>
      </c>
      <c r="BJ29" s="20" t="e">
        <f t="shared" si="11"/>
        <v>#REF!</v>
      </c>
    </row>
    <row r="30" spans="1:62" x14ac:dyDescent="0.15">
      <c r="A30" s="6" t="s">
        <v>320</v>
      </c>
      <c r="B30" s="7"/>
      <c r="C30" s="375"/>
      <c r="D30" s="19">
        <v>26</v>
      </c>
      <c r="E30" s="8">
        <f>'Hourly Customer'!$D$29</f>
        <v>0</v>
      </c>
      <c r="F30" s="9"/>
      <c r="G30" s="20" t="e">
        <f t="shared" si="0"/>
        <v>#REF!</v>
      </c>
      <c r="H30" s="372"/>
      <c r="I30" s="19">
        <v>26</v>
      </c>
      <c r="J30" s="8">
        <f>'Hourly Customer'!$D$29</f>
        <v>0</v>
      </c>
      <c r="K30" s="9"/>
      <c r="L30" s="20" t="e">
        <f t="shared" si="1"/>
        <v>#REF!</v>
      </c>
      <c r="M30" s="372"/>
      <c r="N30" s="19">
        <v>26</v>
      </c>
      <c r="O30" s="8">
        <f>'Hourly Customer'!$D$29</f>
        <v>0</v>
      </c>
      <c r="P30" s="9"/>
      <c r="Q30" s="20" t="e">
        <f t="shared" si="2"/>
        <v>#REF!</v>
      </c>
      <c r="R30" s="372"/>
      <c r="S30" s="19">
        <v>26</v>
      </c>
      <c r="T30" s="8">
        <f>'Hourly Customer'!$D$29</f>
        <v>0</v>
      </c>
      <c r="U30" s="9"/>
      <c r="V30" s="20" t="e">
        <f t="shared" si="3"/>
        <v>#REF!</v>
      </c>
      <c r="W30" s="372"/>
      <c r="X30" s="19">
        <v>26</v>
      </c>
      <c r="Y30" s="8">
        <f>'Hourly Customer'!$D$29</f>
        <v>0</v>
      </c>
      <c r="Z30" s="9"/>
      <c r="AA30" s="20" t="e">
        <f t="shared" si="4"/>
        <v>#REF!</v>
      </c>
      <c r="AB30" s="372"/>
      <c r="AC30" s="19">
        <v>26</v>
      </c>
      <c r="AD30" s="8">
        <f>'Hourly Customer'!$D$29</f>
        <v>0</v>
      </c>
      <c r="AE30" s="9"/>
      <c r="AF30" s="20" t="e">
        <f t="shared" si="5"/>
        <v>#REF!</v>
      </c>
      <c r="AG30" s="372"/>
      <c r="AH30" s="19">
        <v>26</v>
      </c>
      <c r="AI30" s="8">
        <f>'Hourly Customer'!$D$29</f>
        <v>0</v>
      </c>
      <c r="AJ30" s="9"/>
      <c r="AK30" s="20" t="e">
        <f t="shared" si="6"/>
        <v>#REF!</v>
      </c>
      <c r="AL30" s="372"/>
      <c r="AM30" s="19">
        <v>26</v>
      </c>
      <c r="AN30" s="8">
        <f>'Hourly Customer'!$D$29</f>
        <v>0</v>
      </c>
      <c r="AO30" s="9"/>
      <c r="AP30" s="20" t="e">
        <f t="shared" si="7"/>
        <v>#REF!</v>
      </c>
      <c r="AQ30" s="372"/>
      <c r="AR30" s="19">
        <v>26</v>
      </c>
      <c r="AS30" s="8">
        <f>'Hourly Customer'!$D$29</f>
        <v>0</v>
      </c>
      <c r="AT30" s="9"/>
      <c r="AU30" s="20" t="e">
        <f t="shared" si="8"/>
        <v>#REF!</v>
      </c>
      <c r="AV30" s="372"/>
      <c r="AW30" s="19">
        <v>26</v>
      </c>
      <c r="AX30" s="8">
        <f>'Hourly Customer'!$D$29</f>
        <v>0</v>
      </c>
      <c r="AY30" s="9"/>
      <c r="AZ30" s="20" t="e">
        <f t="shared" si="9"/>
        <v>#REF!</v>
      </c>
      <c r="BA30" s="372"/>
      <c r="BB30" s="19">
        <v>26</v>
      </c>
      <c r="BC30" s="8">
        <f>'Hourly Customer'!$D$29</f>
        <v>0</v>
      </c>
      <c r="BD30" s="9"/>
      <c r="BE30" s="20" t="e">
        <f t="shared" si="10"/>
        <v>#REF!</v>
      </c>
      <c r="BF30" s="372"/>
      <c r="BG30" s="19">
        <v>26</v>
      </c>
      <c r="BH30" s="8">
        <f>'Hourly Customer'!$D$29</f>
        <v>0</v>
      </c>
      <c r="BI30" s="9"/>
      <c r="BJ30" s="20" t="e">
        <f t="shared" si="11"/>
        <v>#REF!</v>
      </c>
    </row>
    <row r="31" spans="1:62" x14ac:dyDescent="0.15">
      <c r="A31" s="6" t="s">
        <v>320</v>
      </c>
      <c r="B31" s="7"/>
      <c r="C31" s="375"/>
      <c r="D31" s="19">
        <v>27</v>
      </c>
      <c r="E31" s="8">
        <f>'Hourly Customer'!$D$29</f>
        <v>0</v>
      </c>
      <c r="F31" s="9"/>
      <c r="G31" s="20" t="e">
        <f t="shared" si="0"/>
        <v>#REF!</v>
      </c>
      <c r="H31" s="372"/>
      <c r="I31" s="19">
        <v>27</v>
      </c>
      <c r="J31" s="8">
        <f>'Hourly Customer'!$D$29</f>
        <v>0</v>
      </c>
      <c r="K31" s="9"/>
      <c r="L31" s="20" t="e">
        <f t="shared" si="1"/>
        <v>#REF!</v>
      </c>
      <c r="M31" s="372"/>
      <c r="N31" s="19">
        <v>27</v>
      </c>
      <c r="O31" s="8">
        <f>'Hourly Customer'!$D$29</f>
        <v>0</v>
      </c>
      <c r="P31" s="9"/>
      <c r="Q31" s="20" t="e">
        <f t="shared" si="2"/>
        <v>#REF!</v>
      </c>
      <c r="R31" s="372"/>
      <c r="S31" s="19">
        <v>27</v>
      </c>
      <c r="T31" s="8">
        <f>'Hourly Customer'!$D$29</f>
        <v>0</v>
      </c>
      <c r="U31" s="9"/>
      <c r="V31" s="20" t="e">
        <f t="shared" si="3"/>
        <v>#REF!</v>
      </c>
      <c r="W31" s="372"/>
      <c r="X31" s="19">
        <v>27</v>
      </c>
      <c r="Y31" s="8">
        <f>'Hourly Customer'!$D$29</f>
        <v>0</v>
      </c>
      <c r="Z31" s="9"/>
      <c r="AA31" s="20" t="e">
        <f t="shared" si="4"/>
        <v>#REF!</v>
      </c>
      <c r="AB31" s="372"/>
      <c r="AC31" s="19">
        <v>27</v>
      </c>
      <c r="AD31" s="8">
        <f>'Hourly Customer'!$D$29</f>
        <v>0</v>
      </c>
      <c r="AE31" s="9"/>
      <c r="AF31" s="20" t="e">
        <f t="shared" si="5"/>
        <v>#REF!</v>
      </c>
      <c r="AG31" s="372"/>
      <c r="AH31" s="19">
        <v>27</v>
      </c>
      <c r="AI31" s="8">
        <f>'Hourly Customer'!$D$29</f>
        <v>0</v>
      </c>
      <c r="AJ31" s="9"/>
      <c r="AK31" s="20" t="e">
        <f t="shared" si="6"/>
        <v>#REF!</v>
      </c>
      <c r="AL31" s="372"/>
      <c r="AM31" s="19">
        <v>27</v>
      </c>
      <c r="AN31" s="8">
        <f>'Hourly Customer'!$D$29</f>
        <v>0</v>
      </c>
      <c r="AO31" s="9"/>
      <c r="AP31" s="20" t="e">
        <f t="shared" si="7"/>
        <v>#REF!</v>
      </c>
      <c r="AQ31" s="372"/>
      <c r="AR31" s="19">
        <v>27</v>
      </c>
      <c r="AS31" s="8">
        <f>'Hourly Customer'!$D$29</f>
        <v>0</v>
      </c>
      <c r="AT31" s="9"/>
      <c r="AU31" s="20" t="e">
        <f t="shared" si="8"/>
        <v>#REF!</v>
      </c>
      <c r="AV31" s="372"/>
      <c r="AW31" s="19">
        <v>27</v>
      </c>
      <c r="AX31" s="8">
        <f>'Hourly Customer'!$D$29</f>
        <v>0</v>
      </c>
      <c r="AY31" s="9"/>
      <c r="AZ31" s="20" t="e">
        <f t="shared" si="9"/>
        <v>#REF!</v>
      </c>
      <c r="BA31" s="372"/>
      <c r="BB31" s="19">
        <v>27</v>
      </c>
      <c r="BC31" s="8">
        <f>'Hourly Customer'!$D$29</f>
        <v>0</v>
      </c>
      <c r="BD31" s="9"/>
      <c r="BE31" s="20" t="e">
        <f t="shared" si="10"/>
        <v>#REF!</v>
      </c>
      <c r="BF31" s="372"/>
      <c r="BG31" s="19">
        <v>27</v>
      </c>
      <c r="BH31" s="8">
        <f>'Hourly Customer'!$D$29</f>
        <v>0</v>
      </c>
      <c r="BI31" s="9"/>
      <c r="BJ31" s="20" t="e">
        <f t="shared" si="11"/>
        <v>#REF!</v>
      </c>
    </row>
    <row r="32" spans="1:62" x14ac:dyDescent="0.15">
      <c r="A32" s="6" t="s">
        <v>320</v>
      </c>
      <c r="B32" s="7" t="s">
        <v>330</v>
      </c>
      <c r="C32" s="376"/>
      <c r="D32" s="19">
        <v>28</v>
      </c>
      <c r="E32" s="8">
        <f>'Hourly Customer'!$D$29</f>
        <v>0</v>
      </c>
      <c r="F32" s="9" t="e">
        <f>'Monthly IS'!#REF!/12</f>
        <v>#REF!</v>
      </c>
      <c r="G32" s="20" t="e">
        <f t="shared" si="0"/>
        <v>#REF!</v>
      </c>
      <c r="H32" s="373"/>
      <c r="I32" s="19">
        <v>28</v>
      </c>
      <c r="J32" s="8">
        <f>'Hourly Customer'!$D$29</f>
        <v>0</v>
      </c>
      <c r="K32" s="9" t="e">
        <f>'Monthly IS'!#REF!/12</f>
        <v>#REF!</v>
      </c>
      <c r="L32" s="20" t="e">
        <f t="shared" si="1"/>
        <v>#REF!</v>
      </c>
      <c r="M32" s="373"/>
      <c r="N32" s="19">
        <v>28</v>
      </c>
      <c r="O32" s="8">
        <f>'Hourly Customer'!$D$29</f>
        <v>0</v>
      </c>
      <c r="P32" s="9" t="e">
        <f>'Monthly IS'!#REF!/12</f>
        <v>#REF!</v>
      </c>
      <c r="Q32" s="20" t="e">
        <f t="shared" si="2"/>
        <v>#REF!</v>
      </c>
      <c r="R32" s="373"/>
      <c r="S32" s="19">
        <v>28</v>
      </c>
      <c r="T32" s="8">
        <f>'Hourly Customer'!$D$29</f>
        <v>0</v>
      </c>
      <c r="U32" s="9" t="e">
        <f>'Monthly IS'!#REF!/12</f>
        <v>#REF!</v>
      </c>
      <c r="V32" s="20" t="e">
        <f t="shared" si="3"/>
        <v>#REF!</v>
      </c>
      <c r="W32" s="373"/>
      <c r="X32" s="19">
        <v>28</v>
      </c>
      <c r="Y32" s="8">
        <f>'Hourly Customer'!$D$29</f>
        <v>0</v>
      </c>
      <c r="Z32" s="9" t="e">
        <f>'Monthly IS'!#REF!/12</f>
        <v>#REF!</v>
      </c>
      <c r="AA32" s="20" t="e">
        <f t="shared" si="4"/>
        <v>#REF!</v>
      </c>
      <c r="AB32" s="373"/>
      <c r="AC32" s="19">
        <v>28</v>
      </c>
      <c r="AD32" s="8">
        <f>'Hourly Customer'!$D$29</f>
        <v>0</v>
      </c>
      <c r="AE32" s="9" t="e">
        <f>'Monthly IS'!#REF!/12</f>
        <v>#REF!</v>
      </c>
      <c r="AF32" s="20" t="e">
        <f t="shared" si="5"/>
        <v>#REF!</v>
      </c>
      <c r="AG32" s="373"/>
      <c r="AH32" s="19">
        <v>28</v>
      </c>
      <c r="AI32" s="8">
        <f>'Hourly Customer'!$D$29</f>
        <v>0</v>
      </c>
      <c r="AJ32" s="9" t="e">
        <f>'Monthly IS'!#REF!/12</f>
        <v>#REF!</v>
      </c>
      <c r="AK32" s="20" t="e">
        <f t="shared" si="6"/>
        <v>#REF!</v>
      </c>
      <c r="AL32" s="373"/>
      <c r="AM32" s="19">
        <v>28</v>
      </c>
      <c r="AN32" s="8">
        <f>'Hourly Customer'!$D$29</f>
        <v>0</v>
      </c>
      <c r="AO32" s="9" t="e">
        <f>'Monthly IS'!#REF!/12</f>
        <v>#REF!</v>
      </c>
      <c r="AP32" s="20" t="e">
        <f t="shared" si="7"/>
        <v>#REF!</v>
      </c>
      <c r="AQ32" s="373"/>
      <c r="AR32" s="19">
        <v>28</v>
      </c>
      <c r="AS32" s="8">
        <f>'Hourly Customer'!$D$29</f>
        <v>0</v>
      </c>
      <c r="AT32" s="9" t="e">
        <f>'Monthly IS'!#REF!/12</f>
        <v>#REF!</v>
      </c>
      <c r="AU32" s="20" t="e">
        <f t="shared" si="8"/>
        <v>#REF!</v>
      </c>
      <c r="AV32" s="373"/>
      <c r="AW32" s="19">
        <v>28</v>
      </c>
      <c r="AX32" s="8">
        <f>'Hourly Customer'!$D$29</f>
        <v>0</v>
      </c>
      <c r="AY32" s="9" t="e">
        <f>'Monthly IS'!#REF!/12</f>
        <v>#REF!</v>
      </c>
      <c r="AZ32" s="20" t="e">
        <f t="shared" si="9"/>
        <v>#REF!</v>
      </c>
      <c r="BA32" s="373"/>
      <c r="BB32" s="19">
        <v>28</v>
      </c>
      <c r="BC32" s="8">
        <f>'Hourly Customer'!$D$29</f>
        <v>0</v>
      </c>
      <c r="BD32" s="9" t="e">
        <f>'Monthly IS'!#REF!/12</f>
        <v>#REF!</v>
      </c>
      <c r="BE32" s="20" t="e">
        <f t="shared" si="10"/>
        <v>#REF!</v>
      </c>
      <c r="BF32" s="373"/>
      <c r="BG32" s="19">
        <v>28</v>
      </c>
      <c r="BH32" s="8">
        <f>'Hourly Customer'!$D$29</f>
        <v>0</v>
      </c>
      <c r="BI32" s="9" t="e">
        <f>'Monthly IS'!#REF!/12</f>
        <v>#REF!</v>
      </c>
      <c r="BJ32" s="20" t="e">
        <f t="shared" si="11"/>
        <v>#REF!</v>
      </c>
    </row>
    <row r="33" spans="1:62" x14ac:dyDescent="0.15">
      <c r="A33" s="6" t="s">
        <v>320</v>
      </c>
      <c r="B33" s="21"/>
      <c r="D33" s="19">
        <v>29</v>
      </c>
      <c r="E33" s="8">
        <f>'Hourly Customer'!$D$29</f>
        <v>0</v>
      </c>
      <c r="F33" s="9"/>
      <c r="G33" s="20" t="e">
        <f t="shared" si="0"/>
        <v>#REF!</v>
      </c>
      <c r="I33" s="19"/>
      <c r="K33" s="22"/>
      <c r="L33" s="23"/>
      <c r="N33" s="19">
        <v>29</v>
      </c>
      <c r="O33" s="8">
        <f>'Hourly Customer'!$D$29</f>
        <v>0</v>
      </c>
      <c r="P33" s="9"/>
      <c r="Q33" s="20" t="e">
        <f t="shared" si="2"/>
        <v>#REF!</v>
      </c>
      <c r="S33" s="19">
        <v>29</v>
      </c>
      <c r="T33" s="8">
        <f>'Hourly Customer'!$D$29</f>
        <v>0</v>
      </c>
      <c r="U33" s="9"/>
      <c r="V33" s="20" t="e">
        <f t="shared" si="3"/>
        <v>#REF!</v>
      </c>
      <c r="X33" s="19">
        <v>29</v>
      </c>
      <c r="Y33" s="8">
        <f>'Hourly Customer'!$D$29</f>
        <v>0</v>
      </c>
      <c r="Z33" s="9"/>
      <c r="AA33" s="20" t="e">
        <f t="shared" si="4"/>
        <v>#REF!</v>
      </c>
      <c r="AC33" s="19">
        <v>29</v>
      </c>
      <c r="AD33" s="8">
        <f>'Hourly Customer'!$D$29</f>
        <v>0</v>
      </c>
      <c r="AE33" s="9"/>
      <c r="AF33" s="20" t="e">
        <f t="shared" si="5"/>
        <v>#REF!</v>
      </c>
      <c r="AH33" s="19">
        <v>29</v>
      </c>
      <c r="AI33" s="8">
        <f>'Hourly Customer'!$D$29</f>
        <v>0</v>
      </c>
      <c r="AJ33" s="9"/>
      <c r="AK33" s="20" t="e">
        <f t="shared" si="6"/>
        <v>#REF!</v>
      </c>
      <c r="AM33" s="19">
        <v>29</v>
      </c>
      <c r="AN33" s="8">
        <f>'Hourly Customer'!$D$29</f>
        <v>0</v>
      </c>
      <c r="AO33" s="9"/>
      <c r="AP33" s="20" t="e">
        <f t="shared" si="7"/>
        <v>#REF!</v>
      </c>
      <c r="AR33" s="19">
        <v>29</v>
      </c>
      <c r="AS33" s="8">
        <f>'Hourly Customer'!$D$29</f>
        <v>0</v>
      </c>
      <c r="AT33" s="9"/>
      <c r="AU33" s="20" t="e">
        <f t="shared" si="8"/>
        <v>#REF!</v>
      </c>
      <c r="AW33" s="19">
        <v>29</v>
      </c>
      <c r="AX33" s="8">
        <f>'Hourly Customer'!$D$29</f>
        <v>0</v>
      </c>
      <c r="AY33" s="9"/>
      <c r="AZ33" s="20" t="e">
        <f t="shared" si="9"/>
        <v>#REF!</v>
      </c>
      <c r="BB33" s="19">
        <v>29</v>
      </c>
      <c r="BC33" s="8">
        <f>'Hourly Customer'!$D$29</f>
        <v>0</v>
      </c>
      <c r="BD33" s="9"/>
      <c r="BE33" s="20" t="e">
        <f t="shared" si="10"/>
        <v>#REF!</v>
      </c>
      <c r="BG33" s="19">
        <v>29</v>
      </c>
      <c r="BH33" s="8">
        <f>'Hourly Customer'!$D$29</f>
        <v>0</v>
      </c>
      <c r="BI33" s="9"/>
      <c r="BJ33" s="20" t="e">
        <f t="shared" si="11"/>
        <v>#REF!</v>
      </c>
    </row>
    <row r="34" spans="1:62" x14ac:dyDescent="0.15">
      <c r="A34" s="6" t="s">
        <v>320</v>
      </c>
      <c r="B34" s="9"/>
      <c r="D34" s="19">
        <v>30</v>
      </c>
      <c r="E34" s="8">
        <f>'Hourly Customer'!$D$29</f>
        <v>0</v>
      </c>
      <c r="F34" s="20"/>
      <c r="G34" s="20" t="e">
        <f t="shared" si="0"/>
        <v>#REF!</v>
      </c>
      <c r="I34" s="19"/>
      <c r="J34" s="22"/>
      <c r="K34" s="24"/>
      <c r="L34" s="23"/>
      <c r="N34" s="19">
        <v>30</v>
      </c>
      <c r="O34" s="8">
        <f>'Hourly Customer'!$D$29</f>
        <v>0</v>
      </c>
      <c r="P34" s="20"/>
      <c r="Q34" s="20" t="e">
        <f t="shared" si="2"/>
        <v>#REF!</v>
      </c>
      <c r="S34" s="19">
        <v>30</v>
      </c>
      <c r="T34" s="8">
        <f>'Hourly Customer'!$D$29</f>
        <v>0</v>
      </c>
      <c r="U34" s="20"/>
      <c r="V34" s="20" t="e">
        <f t="shared" si="3"/>
        <v>#REF!</v>
      </c>
      <c r="X34" s="19">
        <v>30</v>
      </c>
      <c r="Y34" s="8">
        <f>'Hourly Customer'!$D$29</f>
        <v>0</v>
      </c>
      <c r="Z34" s="20"/>
      <c r="AA34" s="20" t="e">
        <f t="shared" si="4"/>
        <v>#REF!</v>
      </c>
      <c r="AC34" s="19">
        <v>30</v>
      </c>
      <c r="AD34" s="8">
        <f>'Hourly Customer'!$D$29</f>
        <v>0</v>
      </c>
      <c r="AE34" s="20"/>
      <c r="AF34" s="20" t="e">
        <f t="shared" si="5"/>
        <v>#REF!</v>
      </c>
      <c r="AH34" s="19">
        <v>30</v>
      </c>
      <c r="AI34" s="8">
        <f>'Hourly Customer'!$D$29</f>
        <v>0</v>
      </c>
      <c r="AJ34" s="20"/>
      <c r="AK34" s="20" t="e">
        <f t="shared" si="6"/>
        <v>#REF!</v>
      </c>
      <c r="AM34" s="19">
        <v>30</v>
      </c>
      <c r="AN34" s="8">
        <f>'Hourly Customer'!$D$29</f>
        <v>0</v>
      </c>
      <c r="AO34" s="20"/>
      <c r="AP34" s="20" t="e">
        <f t="shared" si="7"/>
        <v>#REF!</v>
      </c>
      <c r="AR34" s="19">
        <v>30</v>
      </c>
      <c r="AS34" s="8">
        <f>'Hourly Customer'!$D$29</f>
        <v>0</v>
      </c>
      <c r="AT34" s="20"/>
      <c r="AU34" s="20" t="e">
        <f t="shared" si="8"/>
        <v>#REF!</v>
      </c>
      <c r="AW34" s="19">
        <v>30</v>
      </c>
      <c r="AX34" s="8">
        <f>'Hourly Customer'!$D$29</f>
        <v>0</v>
      </c>
      <c r="AY34" s="20"/>
      <c r="AZ34" s="20" t="e">
        <f t="shared" si="9"/>
        <v>#REF!</v>
      </c>
      <c r="BB34" s="19">
        <v>30</v>
      </c>
      <c r="BC34" s="8">
        <f>'Hourly Customer'!$D$29</f>
        <v>0</v>
      </c>
      <c r="BD34" s="20"/>
      <c r="BE34" s="20" t="e">
        <f t="shared" si="10"/>
        <v>#REF!</v>
      </c>
      <c r="BG34" s="19">
        <v>30</v>
      </c>
      <c r="BH34" s="8">
        <f>'Hourly Customer'!$D$29</f>
        <v>0</v>
      </c>
      <c r="BI34" s="20"/>
      <c r="BJ34" s="20" t="e">
        <f t="shared" si="11"/>
        <v>#REF!</v>
      </c>
    </row>
    <row r="35" spans="1:62" ht="14" thickBot="1" x14ac:dyDescent="0.2">
      <c r="A35" s="7"/>
      <c r="B35" s="8"/>
      <c r="C35" s="19"/>
      <c r="D35" s="19">
        <v>31</v>
      </c>
      <c r="E35" s="8">
        <f>'Hourly Customer'!$D$29</f>
        <v>0</v>
      </c>
      <c r="F35" s="9"/>
      <c r="G35" s="20" t="e">
        <f t="shared" si="0"/>
        <v>#REF!</v>
      </c>
      <c r="H35" s="19"/>
      <c r="I35" s="19"/>
      <c r="J35" s="11"/>
      <c r="K35" s="22"/>
      <c r="L35" s="23"/>
      <c r="M35" s="19"/>
      <c r="N35" s="19">
        <v>31</v>
      </c>
      <c r="O35" s="8">
        <f>'Hourly Customer'!$D$29</f>
        <v>0</v>
      </c>
      <c r="P35" s="9"/>
      <c r="Q35" s="20" t="e">
        <f t="shared" si="2"/>
        <v>#REF!</v>
      </c>
      <c r="R35" s="19"/>
      <c r="S35" s="19"/>
      <c r="T35" s="11"/>
      <c r="U35" s="22"/>
      <c r="V35" s="23"/>
      <c r="W35" s="19"/>
      <c r="X35" s="19">
        <v>31</v>
      </c>
      <c r="Y35" s="8">
        <f>'Hourly Customer'!$D$29</f>
        <v>0</v>
      </c>
      <c r="Z35" s="9"/>
      <c r="AA35" s="20" t="e">
        <f t="shared" si="4"/>
        <v>#REF!</v>
      </c>
      <c r="AB35" s="19"/>
      <c r="AC35" s="19"/>
      <c r="AE35" s="22"/>
      <c r="AF35" s="23"/>
      <c r="AG35" s="19"/>
      <c r="AH35" s="19">
        <v>31</v>
      </c>
      <c r="AI35" s="8">
        <f>'Hourly Customer'!$D$29</f>
        <v>0</v>
      </c>
      <c r="AJ35" s="9"/>
      <c r="AK35" s="20" t="e">
        <f t="shared" si="6"/>
        <v>#REF!</v>
      </c>
      <c r="AL35" s="19"/>
      <c r="AM35" s="19">
        <v>31</v>
      </c>
      <c r="AN35" s="8">
        <f>'Hourly Customer'!$D$29</f>
        <v>0</v>
      </c>
      <c r="AO35" s="9"/>
      <c r="AP35" s="20" t="e">
        <f t="shared" si="7"/>
        <v>#REF!</v>
      </c>
      <c r="AQ35" s="19"/>
      <c r="AR35" s="19"/>
      <c r="AS35" s="11"/>
      <c r="AT35" s="22"/>
      <c r="AU35" s="23"/>
      <c r="AV35" s="19"/>
      <c r="AW35" s="19">
        <v>31</v>
      </c>
      <c r="AX35" s="8">
        <f>'Hourly Customer'!$D$29</f>
        <v>0</v>
      </c>
      <c r="AY35" s="9"/>
      <c r="AZ35" s="20" t="e">
        <f t="shared" si="9"/>
        <v>#REF!</v>
      </c>
      <c r="BA35" s="19"/>
      <c r="BB35" s="19"/>
      <c r="BC35" s="11"/>
      <c r="BD35" s="22"/>
      <c r="BE35" s="23"/>
      <c r="BF35" s="19"/>
      <c r="BG35" s="19">
        <v>31</v>
      </c>
      <c r="BH35" s="8">
        <f>'Hourly Customer'!$D$29</f>
        <v>0</v>
      </c>
      <c r="BI35" s="9"/>
      <c r="BJ35" s="20" t="e">
        <f>BJ34+BH35-BI35</f>
        <v>#REF!</v>
      </c>
    </row>
    <row r="36" spans="1:62" ht="14" thickBot="1" x14ac:dyDescent="0.2">
      <c r="A36" s="22"/>
      <c r="B36" s="22"/>
      <c r="C36" s="19"/>
      <c r="D36" s="19"/>
      <c r="E36" s="12">
        <f>SUM(E5:E35)</f>
        <v>0</v>
      </c>
      <c r="F36" s="13" t="e">
        <f>SUM(F5:F35)</f>
        <v>#REF!</v>
      </c>
      <c r="G36" s="14" t="e">
        <f>G4+E36-F36</f>
        <v>#REF!</v>
      </c>
      <c r="H36" s="19"/>
      <c r="I36" s="19"/>
      <c r="J36" s="15">
        <f>SUM(J5:J35)</f>
        <v>0</v>
      </c>
      <c r="K36" s="16" t="e">
        <f>SUM(K5:K35)</f>
        <v>#REF!</v>
      </c>
      <c r="L36" s="17" t="e">
        <f>L4+J36-K36</f>
        <v>#REF!</v>
      </c>
      <c r="M36" s="19"/>
      <c r="N36" s="19"/>
      <c r="O36" s="12">
        <f>SUM(O5:O35)</f>
        <v>0</v>
      </c>
      <c r="P36" s="13" t="e">
        <f>SUM(P5:P35)</f>
        <v>#REF!</v>
      </c>
      <c r="Q36" s="14" t="e">
        <f>Q4+O36-P36</f>
        <v>#REF!</v>
      </c>
      <c r="R36" s="19"/>
      <c r="S36" s="19"/>
      <c r="T36" s="15">
        <f>SUM(T5:T35)</f>
        <v>0</v>
      </c>
      <c r="U36" s="16" t="e">
        <f>SUM(U5:U34)</f>
        <v>#REF!</v>
      </c>
      <c r="V36" s="17" t="e">
        <f>V4+T36-U36</f>
        <v>#REF!</v>
      </c>
      <c r="W36" s="19"/>
      <c r="X36" s="19"/>
      <c r="Y36" s="12">
        <f>SUM(Y5:Y35)</f>
        <v>0</v>
      </c>
      <c r="Z36" s="13" t="e">
        <f>SUM(Z5:Z35)</f>
        <v>#REF!</v>
      </c>
      <c r="AA36" s="14" t="e">
        <f>AA4+Y36-Z36</f>
        <v>#REF!</v>
      </c>
      <c r="AB36" s="19"/>
      <c r="AC36" s="19"/>
      <c r="AD36" s="15">
        <f>SUM(AD5:AD35)</f>
        <v>0</v>
      </c>
      <c r="AE36" s="16" t="e">
        <f>SUM(AE5:AE35)</f>
        <v>#REF!</v>
      </c>
      <c r="AF36" s="17" t="e">
        <f>AF4+AD36-AE36</f>
        <v>#REF!</v>
      </c>
      <c r="AG36" s="19"/>
      <c r="AH36" s="19"/>
      <c r="AI36" s="12">
        <f>SUM(AI5:AI35)</f>
        <v>0</v>
      </c>
      <c r="AJ36" s="13" t="e">
        <f>SUM(AJ5:AJ35)</f>
        <v>#REF!</v>
      </c>
      <c r="AK36" s="14" t="e">
        <f>AK4+AI36-AJ36</f>
        <v>#REF!</v>
      </c>
      <c r="AL36" s="19"/>
      <c r="AM36" s="19"/>
      <c r="AN36" s="12">
        <f>SUM(AN5:AN35)</f>
        <v>0</v>
      </c>
      <c r="AO36" s="13" t="e">
        <f>SUM(AO5:AO35)</f>
        <v>#REF!</v>
      </c>
      <c r="AP36" s="14" t="e">
        <f>AP4+AN36-AO36</f>
        <v>#REF!</v>
      </c>
      <c r="AQ36" s="19"/>
      <c r="AR36" s="19"/>
      <c r="AS36" s="15">
        <f>SUM(AS5:AS35)</f>
        <v>0</v>
      </c>
      <c r="AT36" s="16" t="e">
        <f>SUM(AT5:AT35)</f>
        <v>#REF!</v>
      </c>
      <c r="AU36" s="17" t="e">
        <f>AU4+AS36-AT36</f>
        <v>#REF!</v>
      </c>
      <c r="AV36" s="19"/>
      <c r="AW36" s="19"/>
      <c r="AX36" s="12">
        <f>SUM(AX5:AX35)</f>
        <v>0</v>
      </c>
      <c r="AY36" s="13" t="e">
        <f>SUM(AY5:AY35)</f>
        <v>#REF!</v>
      </c>
      <c r="AZ36" s="14" t="e">
        <f>AZ4+AX36-AY36</f>
        <v>#REF!</v>
      </c>
      <c r="BA36" s="19"/>
      <c r="BB36" s="19"/>
      <c r="BC36" s="15">
        <f>SUM(BC5:BC35)</f>
        <v>0</v>
      </c>
      <c r="BD36" s="16" t="e">
        <f>SUM(BD5:BD35)</f>
        <v>#REF!</v>
      </c>
      <c r="BE36" s="17" t="e">
        <f>BE4+BC36-BD36</f>
        <v>#REF!</v>
      </c>
      <c r="BF36" s="19"/>
      <c r="BG36" s="19"/>
      <c r="BH36" s="12">
        <f>SUM(BH5:BH35)</f>
        <v>0</v>
      </c>
      <c r="BI36" s="13" t="e">
        <f>SUM(BI5:BI35)</f>
        <v>#REF!</v>
      </c>
      <c r="BJ36" s="14" t="e">
        <f>BJ4+BH36-BI36</f>
        <v>#REF!</v>
      </c>
    </row>
    <row r="38" spans="1:62" x14ac:dyDescent="0.15">
      <c r="F38" s="24" t="e">
        <f>MIN(G5:G35,0)</f>
        <v>#REF!</v>
      </c>
    </row>
  </sheetData>
  <mergeCells count="98">
    <mergeCell ref="W1:AA1"/>
    <mergeCell ref="A1:B1"/>
    <mergeCell ref="C1:G1"/>
    <mergeCell ref="H1:L1"/>
    <mergeCell ref="M1:Q1"/>
    <mergeCell ref="R1:V1"/>
    <mergeCell ref="BF1:BJ1"/>
    <mergeCell ref="C2:G2"/>
    <mergeCell ref="H2:L2"/>
    <mergeCell ref="M2:Q2"/>
    <mergeCell ref="R2:V2"/>
    <mergeCell ref="W2:AA2"/>
    <mergeCell ref="AB2:AF2"/>
    <mergeCell ref="AG2:AK2"/>
    <mergeCell ref="AL2:AP2"/>
    <mergeCell ref="AQ2:AU2"/>
    <mergeCell ref="AB1:AF1"/>
    <mergeCell ref="AG1:AK1"/>
    <mergeCell ref="AL1:AP1"/>
    <mergeCell ref="AQ1:AU1"/>
    <mergeCell ref="AV1:AZ1"/>
    <mergeCell ref="BA1:BE1"/>
    <mergeCell ref="BF3:BG3"/>
    <mergeCell ref="AV2:AZ2"/>
    <mergeCell ref="BA2:BE2"/>
    <mergeCell ref="BF2:BJ2"/>
    <mergeCell ref="A3:B3"/>
    <mergeCell ref="C3:D3"/>
    <mergeCell ref="H3:I3"/>
    <mergeCell ref="M3:N3"/>
    <mergeCell ref="R3:S3"/>
    <mergeCell ref="W3:X3"/>
    <mergeCell ref="AB3:AC3"/>
    <mergeCell ref="AG3:AH3"/>
    <mergeCell ref="AL3:AM3"/>
    <mergeCell ref="AQ3:AR3"/>
    <mergeCell ref="AV3:AW3"/>
    <mergeCell ref="BA3:BB3"/>
    <mergeCell ref="BH4:BI4"/>
    <mergeCell ref="E4:F4"/>
    <mergeCell ref="J4:K4"/>
    <mergeCell ref="O4:P4"/>
    <mergeCell ref="T4:U4"/>
    <mergeCell ref="Y4:Z4"/>
    <mergeCell ref="AD4:AE4"/>
    <mergeCell ref="AI4:AJ4"/>
    <mergeCell ref="AN4:AO4"/>
    <mergeCell ref="AS4:AT4"/>
    <mergeCell ref="AX4:AY4"/>
    <mergeCell ref="BC4:BD4"/>
    <mergeCell ref="BF5:BF11"/>
    <mergeCell ref="C5:C11"/>
    <mergeCell ref="H5:H11"/>
    <mergeCell ref="M5:M11"/>
    <mergeCell ref="R5:R11"/>
    <mergeCell ref="W5:W11"/>
    <mergeCell ref="AB5:AB11"/>
    <mergeCell ref="AG5:AG11"/>
    <mergeCell ref="AL5:AL11"/>
    <mergeCell ref="AQ5:AQ11"/>
    <mergeCell ref="AV5:AV11"/>
    <mergeCell ref="BA5:BA11"/>
    <mergeCell ref="BF12:BF18"/>
    <mergeCell ref="C12:C18"/>
    <mergeCell ref="H12:H18"/>
    <mergeCell ref="M12:M18"/>
    <mergeCell ref="R12:R18"/>
    <mergeCell ref="W12:W18"/>
    <mergeCell ref="AB12:AB18"/>
    <mergeCell ref="AG12:AG18"/>
    <mergeCell ref="AL12:AL18"/>
    <mergeCell ref="AQ12:AQ18"/>
    <mergeCell ref="AV12:AV18"/>
    <mergeCell ref="BA12:BA18"/>
    <mergeCell ref="BF19:BF25"/>
    <mergeCell ref="C19:C25"/>
    <mergeCell ref="H19:H25"/>
    <mergeCell ref="M19:M25"/>
    <mergeCell ref="R19:R25"/>
    <mergeCell ref="W19:W25"/>
    <mergeCell ref="AB19:AB25"/>
    <mergeCell ref="AG19:AG25"/>
    <mergeCell ref="AL19:AL25"/>
    <mergeCell ref="AQ19:AQ25"/>
    <mergeCell ref="AV19:AV25"/>
    <mergeCell ref="BA19:BA25"/>
    <mergeCell ref="BF26:BF32"/>
    <mergeCell ref="C26:C32"/>
    <mergeCell ref="H26:H32"/>
    <mergeCell ref="M26:M32"/>
    <mergeCell ref="R26:R32"/>
    <mergeCell ref="W26:W32"/>
    <mergeCell ref="AB26:AB32"/>
    <mergeCell ref="AG26:AG32"/>
    <mergeCell ref="AL26:AL32"/>
    <mergeCell ref="AQ26:AQ32"/>
    <mergeCell ref="AV26:AV32"/>
    <mergeCell ref="BA26:BA32"/>
  </mergeCells>
  <pageMargins left="0.25" right="0.17" top="0.75" bottom="0.75" header="0.3" footer="0.3"/>
  <pageSetup scale="98" fitToHeight="0" orientation="landscape"/>
  <colBreaks count="3" manualBreakCount="3">
    <brk id="17" max="1048575" man="1"/>
    <brk id="32" max="1048575" man="1"/>
    <brk id="47"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zoomScale="75" zoomScaleNormal="170" zoomScalePageLayoutView="145" workbookViewId="0">
      <selection activeCell="B1" sqref="B1"/>
    </sheetView>
  </sheetViews>
  <sheetFormatPr baseColWidth="10" defaultColWidth="8.83203125" defaultRowHeight="14" x14ac:dyDescent="0.15"/>
  <cols>
    <col min="1" max="1" width="22.83203125" style="58" customWidth="1"/>
    <col min="2" max="2" width="16" style="25" customWidth="1"/>
    <col min="3" max="11" width="13.6640625" style="25" customWidth="1"/>
    <col min="12" max="16384" width="8.83203125" style="25"/>
  </cols>
  <sheetData>
    <row r="1" spans="1:11" ht="15" x14ac:dyDescent="0.15">
      <c r="A1" s="339" t="s">
        <v>331</v>
      </c>
      <c r="B1" s="87">
        <v>1</v>
      </c>
      <c r="C1" s="87">
        <f>B1+1</f>
        <v>2</v>
      </c>
      <c r="D1" s="87">
        <f t="shared" ref="D1:K1" si="0">C1+1</f>
        <v>3</v>
      </c>
      <c r="E1" s="87">
        <f t="shared" si="0"/>
        <v>4</v>
      </c>
      <c r="F1" s="87">
        <f t="shared" si="0"/>
        <v>5</v>
      </c>
      <c r="G1" s="87">
        <f t="shared" si="0"/>
        <v>6</v>
      </c>
      <c r="H1" s="87">
        <f t="shared" si="0"/>
        <v>7</v>
      </c>
      <c r="I1" s="87">
        <f t="shared" si="0"/>
        <v>8</v>
      </c>
      <c r="J1" s="87">
        <f t="shared" si="0"/>
        <v>9</v>
      </c>
      <c r="K1" s="87">
        <f t="shared" si="0"/>
        <v>10</v>
      </c>
    </row>
    <row r="2" spans="1:11" x14ac:dyDescent="0.15">
      <c r="A2" s="88"/>
      <c r="B2" s="89"/>
      <c r="C2" s="89"/>
      <c r="D2" s="89"/>
      <c r="E2" s="89"/>
      <c r="F2" s="89"/>
      <c r="G2" s="89"/>
      <c r="H2" s="89"/>
      <c r="I2" s="89"/>
      <c r="J2" s="89"/>
      <c r="K2" s="89"/>
    </row>
    <row r="3" spans="1:11" ht="15" x14ac:dyDescent="0.15">
      <c r="A3" s="90" t="s">
        <v>332</v>
      </c>
      <c r="B3" s="262" t="s">
        <v>333</v>
      </c>
      <c r="C3" s="63"/>
      <c r="D3" s="63"/>
      <c r="E3" s="63"/>
      <c r="F3" s="63"/>
      <c r="G3" s="63"/>
      <c r="H3" s="63"/>
      <c r="I3" s="63"/>
      <c r="J3" s="63"/>
      <c r="K3" s="63"/>
    </row>
    <row r="4" spans="1:11" x14ac:dyDescent="0.15">
      <c r="A4" s="88"/>
      <c r="B4" s="89"/>
      <c r="C4" s="89"/>
      <c r="D4" s="89"/>
      <c r="E4" s="89"/>
      <c r="F4" s="89"/>
      <c r="G4" s="89"/>
      <c r="H4" s="89"/>
      <c r="I4" s="89"/>
      <c r="J4" s="89"/>
      <c r="K4" s="89"/>
    </row>
    <row r="5" spans="1:11" ht="15" x14ac:dyDescent="0.15">
      <c r="A5" s="91" t="s">
        <v>253</v>
      </c>
      <c r="B5" s="263">
        <f>'10 year IS'!B3</f>
        <v>1209405.5999999999</v>
      </c>
      <c r="C5" s="263">
        <f>'10 year IS'!C3</f>
        <v>1410973.2</v>
      </c>
      <c r="D5" s="263">
        <f>'10 year IS'!D3</f>
        <v>1713324.5999999999</v>
      </c>
      <c r="E5" s="263">
        <f>'10 year IS'!E3</f>
        <v>2015676</v>
      </c>
      <c r="F5" s="263">
        <f>'10 year IS'!F3</f>
        <v>2015676</v>
      </c>
      <c r="G5" s="263">
        <f>'10 year IS'!G3</f>
        <v>2015676</v>
      </c>
      <c r="H5" s="263">
        <f>'10 year IS'!H3</f>
        <v>2015676</v>
      </c>
      <c r="I5" s="263">
        <f>'10 year IS'!I3</f>
        <v>2015676</v>
      </c>
      <c r="J5" s="263">
        <f>'10 year IS'!J3</f>
        <v>2015676</v>
      </c>
      <c r="K5" s="263">
        <f>'10 year IS'!K3</f>
        <v>2015676</v>
      </c>
    </row>
    <row r="6" spans="1:11" ht="15" x14ac:dyDescent="0.15">
      <c r="A6" s="91" t="s">
        <v>256</v>
      </c>
      <c r="B6" s="264">
        <f>'10 year IS'!B6</f>
        <v>1270324.7042141538</v>
      </c>
      <c r="C6" s="264">
        <f>'10 year IS'!C6</f>
        <v>1393194.5169775381</v>
      </c>
      <c r="D6" s="264">
        <f>'10 year IS'!D6</f>
        <v>1550843.9447409227</v>
      </c>
      <c r="E6" s="264">
        <f>'10 year IS'!E6</f>
        <v>1761803.955267692</v>
      </c>
      <c r="F6" s="264">
        <f>'10 year IS'!F6</f>
        <v>1761803.955267692</v>
      </c>
      <c r="G6" s="264">
        <f>'10 year IS'!G6</f>
        <v>1761803.955267692</v>
      </c>
      <c r="H6" s="264">
        <f>'10 year IS'!H6</f>
        <v>1761803.955267692</v>
      </c>
      <c r="I6" s="264">
        <f>'10 year IS'!I6</f>
        <v>1761803.955267692</v>
      </c>
      <c r="J6" s="264">
        <f>'10 year IS'!J6</f>
        <v>1761803.955267692</v>
      </c>
      <c r="K6" s="264">
        <f>'10 year IS'!K6</f>
        <v>1761803.955267692</v>
      </c>
    </row>
    <row r="7" spans="1:11" ht="30" x14ac:dyDescent="0.15">
      <c r="A7" s="91" t="s">
        <v>263</v>
      </c>
      <c r="B7" s="265">
        <f>'10 year IS'!B13</f>
        <v>210838.92800000001</v>
      </c>
      <c r="C7" s="265">
        <f>'10 year IS'!C13</f>
        <v>210838.92800000001</v>
      </c>
      <c r="D7" s="265">
        <f>'10 year IS'!D13</f>
        <v>210838.92800000001</v>
      </c>
      <c r="E7" s="265">
        <f>'10 year IS'!E13</f>
        <v>210838.92800000001</v>
      </c>
      <c r="F7" s="265">
        <f>'10 year IS'!F13</f>
        <v>210838.92800000001</v>
      </c>
      <c r="G7" s="265">
        <f>'10 year IS'!G13</f>
        <v>210838.92800000001</v>
      </c>
      <c r="H7" s="265">
        <f>'10 year IS'!H13</f>
        <v>210838.92800000001</v>
      </c>
      <c r="I7" s="265">
        <f>'10 year IS'!I13</f>
        <v>210838.92800000001</v>
      </c>
      <c r="J7" s="265">
        <f>'10 year IS'!J13</f>
        <v>210838.92800000001</v>
      </c>
      <c r="K7" s="265">
        <f>'10 year IS'!K13</f>
        <v>210838.92800000001</v>
      </c>
    </row>
    <row r="8" spans="1:11" ht="30" x14ac:dyDescent="0.15">
      <c r="A8" s="91" t="s">
        <v>334</v>
      </c>
      <c r="B8" s="265">
        <f>'10 year IS'!B18</f>
        <v>67853.997999999978</v>
      </c>
      <c r="C8" s="265">
        <f>'10 year IS'!C18</f>
        <v>67853.997999999978</v>
      </c>
      <c r="D8" s="265">
        <f>'10 year IS'!D18</f>
        <v>67853.997999999978</v>
      </c>
      <c r="E8" s="265">
        <f>'10 year IS'!E18</f>
        <v>67853.997999999978</v>
      </c>
      <c r="F8" s="265">
        <f>'10 year IS'!F18</f>
        <v>67853.997999999978</v>
      </c>
      <c r="G8" s="265">
        <f>'10 year IS'!G18</f>
        <v>17999.999999999996</v>
      </c>
      <c r="H8" s="265">
        <f>'10 year IS'!H18</f>
        <v>17999.999999999996</v>
      </c>
      <c r="I8" s="265">
        <f>'10 year IS'!I18</f>
        <v>17999.999999999996</v>
      </c>
      <c r="J8" s="265">
        <f>'10 year IS'!J18</f>
        <v>17999.999999999996</v>
      </c>
      <c r="K8" s="265">
        <f>'10 year IS'!K18</f>
        <v>17999.999999999996</v>
      </c>
    </row>
    <row r="9" spans="1:11" ht="30" x14ac:dyDescent="0.15">
      <c r="A9" s="91" t="s">
        <v>269</v>
      </c>
      <c r="B9" s="265">
        <f>B5-B6-B7-B8</f>
        <v>-339612.03021415393</v>
      </c>
      <c r="C9" s="265">
        <f t="shared" ref="C9:K9" si="1">C5-C6-C7-C8</f>
        <v>-260914.24297753815</v>
      </c>
      <c r="D9" s="265">
        <f t="shared" si="1"/>
        <v>-116212.27074092279</v>
      </c>
      <c r="E9" s="265">
        <f t="shared" si="1"/>
        <v>-24820.881267691977</v>
      </c>
      <c r="F9" s="265">
        <f t="shared" si="1"/>
        <v>-24820.881267691977</v>
      </c>
      <c r="G9" s="265">
        <f t="shared" si="1"/>
        <v>25033.116732308004</v>
      </c>
      <c r="H9" s="265">
        <f t="shared" si="1"/>
        <v>25033.116732308004</v>
      </c>
      <c r="I9" s="265">
        <f t="shared" si="1"/>
        <v>25033.116732308004</v>
      </c>
      <c r="J9" s="265">
        <f t="shared" si="1"/>
        <v>25033.116732308004</v>
      </c>
      <c r="K9" s="265">
        <f t="shared" si="1"/>
        <v>25033.116732308004</v>
      </c>
    </row>
    <row r="10" spans="1:11" ht="15" x14ac:dyDescent="0.15">
      <c r="A10" s="91" t="s">
        <v>270</v>
      </c>
      <c r="B10" s="265">
        <f>'10 year IS'!B20</f>
        <v>16576.454335000006</v>
      </c>
      <c r="C10" s="265">
        <f>'10 year IS'!C20</f>
        <v>15511.149406660528</v>
      </c>
      <c r="D10" s="265">
        <f>'10 year IS'!D20</f>
        <v>14344.640510128798</v>
      </c>
      <c r="E10" s="265">
        <f>'10 year IS'!E20</f>
        <v>13067.313268426555</v>
      </c>
      <c r="F10" s="265">
        <f>'10 year IS'!F20</f>
        <v>11668.639938762597</v>
      </c>
      <c r="G10" s="265">
        <f>'10 year IS'!G20</f>
        <v>10137.092642780564</v>
      </c>
      <c r="H10" s="265">
        <f>'10 year IS'!H20</f>
        <v>8460.0483536802403</v>
      </c>
      <c r="I10" s="265">
        <f>'10 year IS'!I20</f>
        <v>6623.6848571153841</v>
      </c>
      <c r="J10" s="265">
        <f>'10 year IS'!J20</f>
        <v>4612.8668283768666</v>
      </c>
      <c r="K10" s="265">
        <f>'10 year IS'!K20</f>
        <v>2411.0210869081907</v>
      </c>
    </row>
    <row r="11" spans="1:11" ht="17" x14ac:dyDescent="0.15">
      <c r="A11" s="93" t="s">
        <v>335</v>
      </c>
      <c r="B11" s="265">
        <f>B9-B10</f>
        <v>-356188.48454915395</v>
      </c>
      <c r="C11" s="265">
        <f t="shared" ref="C11:K11" si="2">C9-C10</f>
        <v>-276425.39238419867</v>
      </c>
      <c r="D11" s="265">
        <f t="shared" si="2"/>
        <v>-130556.91125105158</v>
      </c>
      <c r="E11" s="265">
        <f t="shared" si="2"/>
        <v>-37888.194536118535</v>
      </c>
      <c r="F11" s="265">
        <f t="shared" si="2"/>
        <v>-36489.521206454578</v>
      </c>
      <c r="G11" s="265">
        <f t="shared" si="2"/>
        <v>14896.02408952744</v>
      </c>
      <c r="H11" s="265">
        <f t="shared" si="2"/>
        <v>16573.068378627766</v>
      </c>
      <c r="I11" s="265">
        <f t="shared" si="2"/>
        <v>18409.431875192618</v>
      </c>
      <c r="J11" s="265">
        <f t="shared" si="2"/>
        <v>20420.249903931137</v>
      </c>
      <c r="K11" s="265">
        <f t="shared" si="2"/>
        <v>22622.095645399815</v>
      </c>
    </row>
    <row r="12" spans="1:11" ht="17" x14ac:dyDescent="0.15">
      <c r="A12" s="93" t="s">
        <v>336</v>
      </c>
      <c r="B12" s="265">
        <f>B11*0.3</f>
        <v>-106856.54536474618</v>
      </c>
      <c r="C12" s="265">
        <f t="shared" ref="C12:K12" si="3">C11*0.3</f>
        <v>-82927.617715259592</v>
      </c>
      <c r="D12" s="265">
        <f t="shared" si="3"/>
        <v>-39167.073375315471</v>
      </c>
      <c r="E12" s="265">
        <f t="shared" si="3"/>
        <v>-11366.458360835561</v>
      </c>
      <c r="F12" s="265">
        <f t="shared" si="3"/>
        <v>-10946.856361936372</v>
      </c>
      <c r="G12" s="265">
        <f t="shared" si="3"/>
        <v>4468.8072268582318</v>
      </c>
      <c r="H12" s="265">
        <f t="shared" si="3"/>
        <v>4971.9205135883294</v>
      </c>
      <c r="I12" s="265">
        <f t="shared" si="3"/>
        <v>5522.8295625577857</v>
      </c>
      <c r="J12" s="265">
        <f t="shared" si="3"/>
        <v>6126.0749711793405</v>
      </c>
      <c r="K12" s="265">
        <f t="shared" si="3"/>
        <v>6786.628693619944</v>
      </c>
    </row>
    <row r="13" spans="1:11" ht="17" x14ac:dyDescent="0.15">
      <c r="A13" s="93" t="s">
        <v>284</v>
      </c>
      <c r="B13" s="92">
        <f>B11-B12</f>
        <v>-249331.93918440776</v>
      </c>
      <c r="C13" s="92">
        <f t="shared" ref="C13:K13" si="4">C11-C12</f>
        <v>-193497.77466893906</v>
      </c>
      <c r="D13" s="92">
        <f t="shared" si="4"/>
        <v>-91389.837875736121</v>
      </c>
      <c r="E13" s="92">
        <f t="shared" si="4"/>
        <v>-26521.736175282975</v>
      </c>
      <c r="F13" s="92">
        <f t="shared" si="4"/>
        <v>-25542.664844518207</v>
      </c>
      <c r="G13" s="92">
        <f t="shared" si="4"/>
        <v>10427.216862669207</v>
      </c>
      <c r="H13" s="92">
        <f t="shared" si="4"/>
        <v>11601.147865039437</v>
      </c>
      <c r="I13" s="92">
        <f t="shared" si="4"/>
        <v>12886.602312634834</v>
      </c>
      <c r="J13" s="92">
        <f t="shared" si="4"/>
        <v>14294.174932751797</v>
      </c>
      <c r="K13" s="92">
        <f t="shared" si="4"/>
        <v>15835.466951779872</v>
      </c>
    </row>
    <row r="14" spans="1:11" x14ac:dyDescent="0.15">
      <c r="A14" s="389" t="s">
        <v>337</v>
      </c>
      <c r="B14" s="389"/>
      <c r="C14" s="389"/>
      <c r="D14" s="389"/>
      <c r="E14" s="389"/>
      <c r="F14" s="389"/>
      <c r="G14" s="389"/>
      <c r="H14" s="389"/>
      <c r="I14" s="389"/>
      <c r="J14" s="389"/>
      <c r="K14" s="389"/>
    </row>
    <row r="15" spans="1:11" ht="28" customHeight="1" x14ac:dyDescent="0.15">
      <c r="A15" s="91" t="s">
        <v>338</v>
      </c>
      <c r="B15" s="92">
        <f>'10 year IS'!B17</f>
        <v>49853.997999999985</v>
      </c>
      <c r="C15" s="92">
        <f>'10 year IS'!C17</f>
        <v>49853.997999999985</v>
      </c>
      <c r="D15" s="92">
        <f>'10 year IS'!D17</f>
        <v>49853.997999999985</v>
      </c>
      <c r="E15" s="92">
        <f>'10 year IS'!E17</f>
        <v>49853.997999999985</v>
      </c>
      <c r="F15" s="92">
        <f>'10 year IS'!F17</f>
        <v>49853.997999999985</v>
      </c>
      <c r="G15" s="92">
        <f>'10 year IS'!G17</f>
        <v>0</v>
      </c>
      <c r="H15" s="92">
        <f>'10 year IS'!H17</f>
        <v>0</v>
      </c>
      <c r="I15" s="92">
        <f>'10 year IS'!I17</f>
        <v>0</v>
      </c>
      <c r="J15" s="92">
        <f>'10 year IS'!J17</f>
        <v>0</v>
      </c>
      <c r="K15" s="92">
        <f>'10 year IS'!K17</f>
        <v>0</v>
      </c>
    </row>
    <row r="16" spans="1:11" ht="30" hidden="1" x14ac:dyDescent="0.15">
      <c r="A16" s="94" t="s">
        <v>339</v>
      </c>
      <c r="B16" s="266">
        <f>B13+B15</f>
        <v>-199477.94118440777</v>
      </c>
      <c r="C16" s="266">
        <f t="shared" ref="C16:K16" si="5">C13+C15</f>
        <v>-143643.77666893907</v>
      </c>
      <c r="D16" s="266">
        <f t="shared" si="5"/>
        <v>-41535.839875736136</v>
      </c>
      <c r="E16" s="266">
        <f t="shared" si="5"/>
        <v>23332.26182471701</v>
      </c>
      <c r="F16" s="266">
        <f t="shared" si="5"/>
        <v>24311.333155481778</v>
      </c>
      <c r="G16" s="266">
        <f t="shared" si="5"/>
        <v>10427.216862669207</v>
      </c>
      <c r="H16" s="266">
        <f t="shared" si="5"/>
        <v>11601.147865039437</v>
      </c>
      <c r="I16" s="266">
        <f t="shared" si="5"/>
        <v>12886.602312634834</v>
      </c>
      <c r="J16" s="266">
        <f t="shared" si="5"/>
        <v>14294.174932751797</v>
      </c>
      <c r="K16" s="266">
        <f t="shared" si="5"/>
        <v>15835.466951779872</v>
      </c>
    </row>
    <row r="17" spans="1:12" ht="30" hidden="1" x14ac:dyDescent="0.15">
      <c r="A17" s="94" t="s">
        <v>340</v>
      </c>
      <c r="B17" s="266">
        <v>0</v>
      </c>
      <c r="C17" s="266">
        <v>0</v>
      </c>
      <c r="D17" s="266">
        <v>0</v>
      </c>
      <c r="E17" s="266">
        <v>0</v>
      </c>
      <c r="F17" s="266">
        <v>0</v>
      </c>
      <c r="G17" s="266">
        <v>0</v>
      </c>
      <c r="H17" s="266">
        <v>0</v>
      </c>
      <c r="I17" s="266">
        <v>0</v>
      </c>
      <c r="J17" s="266">
        <v>0</v>
      </c>
      <c r="K17" s="266">
        <v>0</v>
      </c>
    </row>
    <row r="18" spans="1:12" ht="16" thickBot="1" x14ac:dyDescent="0.2">
      <c r="A18" s="96" t="s">
        <v>341</v>
      </c>
      <c r="B18" s="267">
        <f>B13+B15</f>
        <v>-199477.94118440777</v>
      </c>
      <c r="C18" s="267">
        <f t="shared" ref="C18:K18" si="6">C13+C15</f>
        <v>-143643.77666893907</v>
      </c>
      <c r="D18" s="267">
        <f t="shared" si="6"/>
        <v>-41535.839875736136</v>
      </c>
      <c r="E18" s="267">
        <f t="shared" si="6"/>
        <v>23332.26182471701</v>
      </c>
      <c r="F18" s="267">
        <f t="shared" si="6"/>
        <v>24311.333155481778</v>
      </c>
      <c r="G18" s="267">
        <f t="shared" si="6"/>
        <v>10427.216862669207</v>
      </c>
      <c r="H18" s="267">
        <f t="shared" si="6"/>
        <v>11601.147865039437</v>
      </c>
      <c r="I18" s="267">
        <f t="shared" si="6"/>
        <v>12886.602312634834</v>
      </c>
      <c r="J18" s="267">
        <f t="shared" si="6"/>
        <v>14294.174932751797</v>
      </c>
      <c r="K18" s="267">
        <f t="shared" si="6"/>
        <v>15835.466951779872</v>
      </c>
    </row>
    <row r="19" spans="1:12" x14ac:dyDescent="0.15">
      <c r="A19" s="88"/>
      <c r="B19" s="268"/>
      <c r="C19" s="268"/>
      <c r="D19" s="268"/>
      <c r="E19" s="268"/>
      <c r="F19" s="268"/>
      <c r="G19" s="268"/>
      <c r="H19" s="268"/>
      <c r="I19" s="268"/>
      <c r="J19" s="268"/>
      <c r="K19" s="268"/>
    </row>
    <row r="20" spans="1:12" ht="31" hidden="1" thickBot="1" x14ac:dyDescent="0.2">
      <c r="A20" s="98" t="s">
        <v>342</v>
      </c>
      <c r="B20" s="269"/>
      <c r="C20" s="269"/>
      <c r="D20" s="269"/>
      <c r="E20" s="269"/>
      <c r="F20" s="269"/>
      <c r="G20" s="269"/>
      <c r="H20" s="269"/>
      <c r="I20" s="269"/>
      <c r="J20" s="269"/>
      <c r="K20" s="269"/>
    </row>
    <row r="21" spans="1:12" ht="15" hidden="1" x14ac:dyDescent="0.15">
      <c r="A21" s="270" t="s">
        <v>343</v>
      </c>
      <c r="B21" s="269"/>
      <c r="C21" s="269"/>
      <c r="D21" s="269"/>
      <c r="E21" s="269"/>
      <c r="F21" s="269"/>
      <c r="G21" s="269"/>
      <c r="H21" s="269"/>
      <c r="I21" s="269"/>
      <c r="J21" s="269"/>
      <c r="K21" s="269"/>
    </row>
    <row r="22" spans="1:12" ht="15" hidden="1" x14ac:dyDescent="0.15">
      <c r="A22" s="99" t="s">
        <v>344</v>
      </c>
      <c r="B22" s="81"/>
      <c r="C22" s="81"/>
      <c r="D22" s="81"/>
      <c r="E22" s="81"/>
      <c r="F22" s="81"/>
      <c r="G22" s="81"/>
      <c r="H22" s="81"/>
      <c r="I22" s="81"/>
      <c r="J22" s="81"/>
      <c r="K22" s="81"/>
    </row>
  </sheetData>
  <mergeCells count="1">
    <mergeCell ref="A14:K14"/>
  </mergeCells>
  <pageMargins left="0.7" right="0.7" top="0.75" bottom="0.75" header="0.3" footer="0.3"/>
  <pageSetup orientation="portrait" horizontalDpi="0" verticalDpi="0"/>
  <ignoredErrors>
    <ignoredError sqref="B12:K12" formula="1"/>
  </ignoredErrors>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2"/>
  <sheetViews>
    <sheetView tabSelected="1" zoomScale="117" zoomScaleNormal="170" zoomScalePageLayoutView="175" workbookViewId="0">
      <selection activeCell="F6" sqref="F6"/>
    </sheetView>
  </sheetViews>
  <sheetFormatPr baseColWidth="10" defaultColWidth="8.83203125" defaultRowHeight="14" x14ac:dyDescent="0.15"/>
  <cols>
    <col min="1" max="1" width="3.5" style="25" customWidth="1"/>
    <col min="2" max="2" width="8.83203125" style="25"/>
    <col min="3" max="3" width="11.33203125" style="25" customWidth="1"/>
    <col min="4" max="4" width="14.6640625" style="25" customWidth="1"/>
    <col min="5" max="5" width="12" style="25" customWidth="1"/>
    <col min="6" max="6" width="12.6640625" style="25" customWidth="1"/>
    <col min="7" max="7" width="9.6640625" style="25" customWidth="1"/>
    <col min="8" max="8" width="18.1640625" style="25" customWidth="1"/>
    <col min="9" max="9" width="16.1640625" style="25" customWidth="1"/>
    <col min="10" max="10" width="18.1640625" style="25" bestFit="1" customWidth="1"/>
    <col min="11" max="11" width="12.6640625" style="25" bestFit="1" customWidth="1"/>
    <col min="12" max="12" width="13.5" style="25" bestFit="1" customWidth="1"/>
    <col min="13" max="13" width="14.5" style="25" bestFit="1" customWidth="1"/>
    <col min="14" max="14" width="27.33203125" style="25" bestFit="1" customWidth="1"/>
    <col min="15" max="15" width="9.83203125" style="25" customWidth="1"/>
    <col min="16" max="16384" width="8.83203125" style="25"/>
  </cols>
  <sheetData>
    <row r="1" spans="1:15" ht="16" x14ac:dyDescent="0.2">
      <c r="A1" s="394" t="s">
        <v>345</v>
      </c>
      <c r="B1" s="395"/>
      <c r="C1" s="395"/>
      <c r="D1" s="395"/>
      <c r="E1" s="395"/>
      <c r="F1" s="395"/>
      <c r="G1" s="395"/>
      <c r="H1" s="395"/>
      <c r="I1" s="396"/>
      <c r="J1" s="283" t="s">
        <v>346</v>
      </c>
      <c r="K1" s="284">
        <f>B4+C4</f>
        <v>204401.39180000007</v>
      </c>
    </row>
    <row r="2" spans="1:15" ht="16" thickBot="1" x14ac:dyDescent="0.25">
      <c r="B2" s="400" t="s">
        <v>347</v>
      </c>
      <c r="C2" s="401"/>
      <c r="D2" s="402" t="s">
        <v>348</v>
      </c>
      <c r="E2" s="403"/>
      <c r="F2" s="404"/>
      <c r="G2" s="404"/>
      <c r="H2"/>
      <c r="J2" s="65" t="s">
        <v>349</v>
      </c>
      <c r="K2" s="299">
        <v>0.25</v>
      </c>
    </row>
    <row r="3" spans="1:15" ht="15" x14ac:dyDescent="0.2">
      <c r="B3" s="100" t="s">
        <v>350</v>
      </c>
      <c r="C3" s="100" t="s">
        <v>172</v>
      </c>
      <c r="D3" s="101" t="s">
        <v>253</v>
      </c>
      <c r="E3" s="100" t="s">
        <v>351</v>
      </c>
      <c r="F3"/>
      <c r="G3"/>
      <c r="J3" s="285"/>
      <c r="K3" s="286" t="s">
        <v>352</v>
      </c>
      <c r="L3" s="286" t="s">
        <v>353</v>
      </c>
      <c r="M3" s="296" t="s">
        <v>354</v>
      </c>
      <c r="N3" s="296" t="s">
        <v>355</v>
      </c>
      <c r="O3" s="297" t="s">
        <v>356</v>
      </c>
    </row>
    <row r="4" spans="1:15" ht="15" x14ac:dyDescent="0.2">
      <c r="B4" s="271">
        <f>Preopening!C48</f>
        <v>174488.99300000007</v>
      </c>
      <c r="C4" s="271">
        <f>Preopening!C50+Preopening!C54</f>
        <v>29912.398799999995</v>
      </c>
      <c r="D4" s="272">
        <f>'Income Statement'!D6</f>
        <v>2015676</v>
      </c>
      <c r="E4" s="281">
        <f>'Income Statement'!E75</f>
        <v>-1.31577377392414E-2</v>
      </c>
      <c r="F4"/>
      <c r="G4"/>
      <c r="J4" s="287" t="s">
        <v>357</v>
      </c>
      <c r="K4" s="288">
        <f>B4</f>
        <v>174488.99300000007</v>
      </c>
      <c r="L4" s="289">
        <v>9.5000000000000001E-2</v>
      </c>
      <c r="M4" s="293">
        <f>IFERROR(K4/$K$1,0)</f>
        <v>0.85365853658536595</v>
      </c>
      <c r="N4" s="293">
        <f>1-K2</f>
        <v>0.75</v>
      </c>
      <c r="O4" s="295">
        <f>(L4*M4*N4)+(L5*M5)</f>
        <v>9.0091463414634143E-2</v>
      </c>
    </row>
    <row r="5" spans="1:15" ht="15" thickBot="1" x14ac:dyDescent="0.2">
      <c r="B5" s="301"/>
      <c r="C5" s="302"/>
      <c r="D5" s="302"/>
      <c r="E5" s="303"/>
      <c r="H5" s="55"/>
      <c r="J5" s="290" t="s">
        <v>172</v>
      </c>
      <c r="K5" s="291">
        <f>C4</f>
        <v>29912.398799999995</v>
      </c>
      <c r="L5" s="292">
        <v>0.2</v>
      </c>
      <c r="M5" s="294">
        <f>IFERROR(K5/$K$1,0)</f>
        <v>0.14634146341463408</v>
      </c>
      <c r="N5" s="294"/>
      <c r="O5" s="298"/>
    </row>
    <row r="6" spans="1:15" x14ac:dyDescent="0.15">
      <c r="B6" s="65" t="s">
        <v>358</v>
      </c>
      <c r="D6" s="102"/>
      <c r="E6" s="282">
        <v>0.105</v>
      </c>
      <c r="H6" s="55"/>
    </row>
    <row r="7" spans="1:15" x14ac:dyDescent="0.15">
      <c r="A7" s="103"/>
      <c r="B7" s="97"/>
      <c r="C7" s="104"/>
      <c r="D7" s="105"/>
      <c r="E7" s="106"/>
      <c r="F7" s="103"/>
      <c r="G7" s="103"/>
      <c r="H7" s="103"/>
      <c r="I7" s="103"/>
    </row>
    <row r="8" spans="1:15" ht="18" x14ac:dyDescent="0.2">
      <c r="A8" s="304" t="s">
        <v>359</v>
      </c>
      <c r="B8" s="305"/>
      <c r="C8" s="305"/>
      <c r="D8" s="305"/>
      <c r="E8" s="305"/>
      <c r="F8" s="305"/>
      <c r="G8" s="305"/>
      <c r="H8" s="305"/>
      <c r="I8" s="305"/>
    </row>
    <row r="9" spans="1:15" ht="15" x14ac:dyDescent="0.15">
      <c r="A9" s="393" t="s">
        <v>360</v>
      </c>
      <c r="B9" s="393"/>
      <c r="C9" s="107" t="s">
        <v>361</v>
      </c>
      <c r="D9" s="107" t="s">
        <v>362</v>
      </c>
      <c r="E9" s="107" t="s">
        <v>363</v>
      </c>
      <c r="F9" s="107" t="s">
        <v>364</v>
      </c>
      <c r="G9" s="107" t="s">
        <v>365</v>
      </c>
      <c r="H9" s="108" t="s">
        <v>366</v>
      </c>
      <c r="I9" s="107" t="s">
        <v>367</v>
      </c>
    </row>
    <row r="10" spans="1:15" x14ac:dyDescent="0.15">
      <c r="A10" s="81">
        <v>1</v>
      </c>
      <c r="B10" s="273">
        <v>2024</v>
      </c>
      <c r="C10" s="274">
        <f>'Cash Flow Projection'!B5</f>
        <v>1209405.5999999999</v>
      </c>
      <c r="D10" s="109">
        <f t="shared" ref="D10:D19" si="0">IFERROR(E10/C10,0)</f>
        <v>-0.20616072819937975</v>
      </c>
      <c r="E10" s="275">
        <f>'Cash Flow Projection'!B13</f>
        <v>-249331.93918440776</v>
      </c>
      <c r="F10" s="275">
        <f>'Cash Flow Projection'!B15</f>
        <v>49853.997999999985</v>
      </c>
      <c r="G10" s="276">
        <f t="shared" ref="G10:G19" si="1">E10+F10</f>
        <v>-199477.94118440777</v>
      </c>
      <c r="H10" s="277"/>
      <c r="I10" s="278">
        <f t="shared" ref="I10:I18" si="2">G10/(1+$E$6)^A10</f>
        <v>-180523.02369629662</v>
      </c>
    </row>
    <row r="11" spans="1:15" x14ac:dyDescent="0.15">
      <c r="A11" s="81">
        <f>A10+1</f>
        <v>2</v>
      </c>
      <c r="B11" s="273">
        <f>B10+1</f>
        <v>2025</v>
      </c>
      <c r="C11" s="274">
        <f>'Cash Flow Projection'!C5</f>
        <v>1410973.2</v>
      </c>
      <c r="D11" s="109">
        <f t="shared" si="0"/>
        <v>-0.1371378100370291</v>
      </c>
      <c r="E11" s="275">
        <f>'Cash Flow Projection'!C13</f>
        <v>-193497.77466893906</v>
      </c>
      <c r="F11" s="275">
        <f>'Cash Flow Projection'!C15</f>
        <v>49853.997999999985</v>
      </c>
      <c r="G11" s="276">
        <f t="shared" si="1"/>
        <v>-143643.77666893907</v>
      </c>
      <c r="H11" s="279"/>
      <c r="I11" s="278">
        <f t="shared" si="2"/>
        <v>-117641.96201465085</v>
      </c>
    </row>
    <row r="12" spans="1:15" x14ac:dyDescent="0.15">
      <c r="A12" s="81">
        <f t="shared" ref="A12:B19" si="3">A11+1</f>
        <v>3</v>
      </c>
      <c r="B12" s="273">
        <f t="shared" si="3"/>
        <v>2026</v>
      </c>
      <c r="C12" s="274">
        <f>'Cash Flow Projection'!D5</f>
        <v>1713324.5999999999</v>
      </c>
      <c r="D12" s="109">
        <f t="shared" si="0"/>
        <v>-5.334064419301289E-2</v>
      </c>
      <c r="E12" s="275">
        <f>'Cash Flow Projection'!D13</f>
        <v>-91389.837875736121</v>
      </c>
      <c r="F12" s="275">
        <f>'Cash Flow Projection'!D15</f>
        <v>49853.997999999985</v>
      </c>
      <c r="G12" s="276">
        <f t="shared" si="1"/>
        <v>-41535.839875736136</v>
      </c>
      <c r="H12" s="279"/>
      <c r="I12" s="278">
        <f t="shared" si="2"/>
        <v>-30784.787668276356</v>
      </c>
    </row>
    <row r="13" spans="1:15" x14ac:dyDescent="0.15">
      <c r="A13" s="81">
        <f t="shared" si="3"/>
        <v>4</v>
      </c>
      <c r="B13" s="273">
        <f t="shared" si="3"/>
        <v>2027</v>
      </c>
      <c r="C13" s="274">
        <f>'Cash Flow Projection'!E5</f>
        <v>2015676</v>
      </c>
      <c r="D13" s="109">
        <f t="shared" si="0"/>
        <v>-1.3157737739241313E-2</v>
      </c>
      <c r="E13" s="275">
        <f>'Cash Flow Projection'!E13</f>
        <v>-26521.736175282975</v>
      </c>
      <c r="F13" s="275">
        <f>'Cash Flow Projection'!E15</f>
        <v>49853.997999999985</v>
      </c>
      <c r="G13" s="276">
        <f t="shared" si="1"/>
        <v>23332.26182471701</v>
      </c>
      <c r="H13" s="279"/>
      <c r="I13" s="278">
        <f t="shared" si="2"/>
        <v>15649.76170965484</v>
      </c>
    </row>
    <row r="14" spans="1:15" x14ac:dyDescent="0.15">
      <c r="A14" s="81">
        <f t="shared" si="3"/>
        <v>5</v>
      </c>
      <c r="B14" s="273">
        <f t="shared" si="3"/>
        <v>2028</v>
      </c>
      <c r="C14" s="274">
        <f>'Cash Flow Projection'!F5</f>
        <v>2015676</v>
      </c>
      <c r="D14" s="109">
        <f t="shared" si="0"/>
        <v>-1.2672009214039463E-2</v>
      </c>
      <c r="E14" s="275">
        <f>'Cash Flow Projection'!F13</f>
        <v>-25542.664844518207</v>
      </c>
      <c r="F14" s="275">
        <f>'Cash Flow Projection'!F15</f>
        <v>49853.997999999985</v>
      </c>
      <c r="G14" s="276">
        <f t="shared" si="1"/>
        <v>24311.333155481778</v>
      </c>
      <c r="H14" s="279"/>
      <c r="I14" s="278">
        <f t="shared" si="2"/>
        <v>14756.976466915454</v>
      </c>
    </row>
    <row r="15" spans="1:15" x14ac:dyDescent="0.15">
      <c r="A15" s="81">
        <f t="shared" si="3"/>
        <v>6</v>
      </c>
      <c r="B15" s="273">
        <f t="shared" si="3"/>
        <v>2029</v>
      </c>
      <c r="C15" s="274">
        <f>'Cash Flow Projection'!G5</f>
        <v>2015676</v>
      </c>
      <c r="D15" s="109">
        <f t="shared" si="0"/>
        <v>5.1730619716011932E-3</v>
      </c>
      <c r="E15" s="275">
        <f>'Cash Flow Projection'!G13</f>
        <v>10427.216862669207</v>
      </c>
      <c r="F15" s="275">
        <f>'Cash Flow Projection'!G15</f>
        <v>0</v>
      </c>
      <c r="G15" s="276">
        <f t="shared" si="1"/>
        <v>10427.216862669207</v>
      </c>
      <c r="H15" s="279"/>
      <c r="I15" s="278">
        <f t="shared" si="2"/>
        <v>5727.890907263436</v>
      </c>
    </row>
    <row r="16" spans="1:15" x14ac:dyDescent="0.15">
      <c r="A16" s="81">
        <f t="shared" si="3"/>
        <v>7</v>
      </c>
      <c r="B16" s="273">
        <f t="shared" si="3"/>
        <v>2030</v>
      </c>
      <c r="C16" s="274">
        <f>'Cash Flow Projection'!H5</f>
        <v>2015676</v>
      </c>
      <c r="D16" s="109">
        <f t="shared" si="0"/>
        <v>5.7554626165313453E-3</v>
      </c>
      <c r="E16" s="275">
        <f>'Cash Flow Projection'!H13</f>
        <v>11601.147865039437</v>
      </c>
      <c r="F16" s="275">
        <f>'Cash Flow Projection'!H15</f>
        <v>0</v>
      </c>
      <c r="G16" s="276">
        <f t="shared" si="1"/>
        <v>11601.147865039437</v>
      </c>
      <c r="H16" s="95"/>
      <c r="I16" s="278">
        <f t="shared" si="2"/>
        <v>5767.2000473093312</v>
      </c>
    </row>
    <row r="17" spans="1:9" x14ac:dyDescent="0.15">
      <c r="A17" s="81">
        <f t="shared" si="3"/>
        <v>8</v>
      </c>
      <c r="B17" s="273">
        <f t="shared" si="3"/>
        <v>2031</v>
      </c>
      <c r="C17" s="274">
        <f>'Cash Flow Projection'!I5</f>
        <v>2015676</v>
      </c>
      <c r="D17" s="109">
        <f t="shared" si="0"/>
        <v>6.3931913227298605E-3</v>
      </c>
      <c r="E17" s="275">
        <f>'Cash Flow Projection'!I13</f>
        <v>12886.602312634834</v>
      </c>
      <c r="F17" s="275">
        <f>'Cash Flow Projection'!I15</f>
        <v>0</v>
      </c>
      <c r="G17" s="276">
        <f t="shared" si="1"/>
        <v>12886.602312634834</v>
      </c>
      <c r="H17" s="95"/>
      <c r="I17" s="278">
        <f t="shared" si="2"/>
        <v>5797.4925870202942</v>
      </c>
    </row>
    <row r="18" spans="1:9" x14ac:dyDescent="0.15">
      <c r="A18" s="81">
        <f t="shared" si="3"/>
        <v>9</v>
      </c>
      <c r="B18" s="273">
        <f t="shared" si="3"/>
        <v>2032</v>
      </c>
      <c r="C18" s="274">
        <f>'Cash Flow Projection'!J5</f>
        <v>2015676</v>
      </c>
      <c r="D18" s="109">
        <f t="shared" si="0"/>
        <v>7.0915042560172354E-3</v>
      </c>
      <c r="E18" s="275">
        <f>'Cash Flow Projection'!J13</f>
        <v>14294.174932751797</v>
      </c>
      <c r="F18" s="275">
        <f>'Cash Flow Projection'!J15</f>
        <v>0</v>
      </c>
      <c r="G18" s="276">
        <f t="shared" si="1"/>
        <v>14294.174932751797</v>
      </c>
      <c r="H18" s="95"/>
      <c r="I18" s="278">
        <f t="shared" si="2"/>
        <v>5819.6731023800412</v>
      </c>
    </row>
    <row r="19" spans="1:9" x14ac:dyDescent="0.15">
      <c r="A19" s="81">
        <f t="shared" si="3"/>
        <v>10</v>
      </c>
      <c r="B19" s="280">
        <f>B18+1</f>
        <v>2033</v>
      </c>
      <c r="C19" s="274">
        <f>'Cash Flow Projection'!K5</f>
        <v>2015676</v>
      </c>
      <c r="D19" s="109">
        <f t="shared" si="0"/>
        <v>7.8561569179669121E-3</v>
      </c>
      <c r="E19" s="275">
        <f>'Cash Flow Projection'!K13</f>
        <v>15835.466951779872</v>
      </c>
      <c r="F19" s="275">
        <f>'Cash Flow Projection'!K15</f>
        <v>0</v>
      </c>
      <c r="G19" s="276">
        <f t="shared" si="1"/>
        <v>15835.466951779872</v>
      </c>
      <c r="H19" s="274">
        <f>IFERROR(G19/E6,0)</f>
        <v>150813.97096933212</v>
      </c>
      <c r="I19" s="278">
        <f>(G19+H19)/(1+$E$6)^A19</f>
        <v>61401.795797414467</v>
      </c>
    </row>
    <row r="20" spans="1:9" x14ac:dyDescent="0.15">
      <c r="A20" s="390" t="s">
        <v>368</v>
      </c>
      <c r="B20" s="391"/>
      <c r="C20" s="391"/>
      <c r="D20" s="391"/>
      <c r="E20" s="391"/>
      <c r="F20" s="391"/>
      <c r="G20" s="391"/>
      <c r="H20" s="392"/>
      <c r="I20" s="110">
        <f>SUM(I10:I19)</f>
        <v>-214028.98276126597</v>
      </c>
    </row>
    <row r="21" spans="1:9" x14ac:dyDescent="0.15">
      <c r="A21" s="397" t="s">
        <v>369</v>
      </c>
      <c r="B21" s="398"/>
      <c r="C21" s="398"/>
      <c r="D21" s="398"/>
      <c r="E21" s="398"/>
      <c r="F21" s="398"/>
      <c r="G21" s="398"/>
      <c r="H21" s="399"/>
      <c r="I21" s="111">
        <f>B4</f>
        <v>174488.99300000007</v>
      </c>
    </row>
    <row r="22" spans="1:9" x14ac:dyDescent="0.15">
      <c r="A22" s="390" t="s">
        <v>370</v>
      </c>
      <c r="B22" s="391"/>
      <c r="C22" s="391"/>
      <c r="D22" s="391"/>
      <c r="E22" s="391"/>
      <c r="F22" s="391"/>
      <c r="G22" s="391"/>
      <c r="H22" s="392"/>
      <c r="I22" s="112">
        <f>I20-I21</f>
        <v>-388517.97576126608</v>
      </c>
    </row>
  </sheetData>
  <mergeCells count="8">
    <mergeCell ref="A22:H22"/>
    <mergeCell ref="A9:B9"/>
    <mergeCell ref="A1:I1"/>
    <mergeCell ref="A20:H20"/>
    <mergeCell ref="A21:H21"/>
    <mergeCell ref="B2:C2"/>
    <mergeCell ref="D2:E2"/>
    <mergeCell ref="F2:G2"/>
  </mergeCells>
  <pageMargins left="0.7" right="0.7" top="0.75" bottom="0.75" header="0.3" footer="0.3"/>
  <pageSetup orientation="portrait" horizontalDpi="0" verticalDpi="0"/>
  <ignoredErrors>
    <ignoredError sqref="I19 I20" evalError="1"/>
  </ignoredErrors>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Table of Contents</vt:lpstr>
      <vt:lpstr>Menu Mix</vt:lpstr>
      <vt:lpstr>Hourly Customer</vt:lpstr>
      <vt:lpstr>Hourly Labor</vt:lpstr>
      <vt:lpstr>Salaries</vt:lpstr>
      <vt:lpstr>Preopening</vt:lpstr>
      <vt:lpstr>Income Statement</vt:lpstr>
      <vt:lpstr>Monthly IS</vt:lpstr>
      <vt:lpstr>10 year IS</vt:lpstr>
      <vt:lpstr>Loan Amortization</vt:lpstr>
      <vt:lpstr>Cash Budget</vt:lpstr>
      <vt:lpstr>Cash Flow Projection</vt:lpstr>
      <vt:lpstr>Valuation</vt:lpstr>
    </vt:vector>
  </TitlesOfParts>
  <Manager/>
  <Company>Rosen College of Hospitality Management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Rosen User</dc:creator>
  <cp:keywords/>
  <dc:description/>
  <cp:lastModifiedBy>Naomi Ajayi</cp:lastModifiedBy>
  <cp:revision/>
  <dcterms:created xsi:type="dcterms:W3CDTF">2010-03-27T18:46:48Z</dcterms:created>
  <dcterms:modified xsi:type="dcterms:W3CDTF">2026-01-07T00:56:22Z</dcterms:modified>
  <cp:category/>
  <cp:contentStatus/>
</cp:coreProperties>
</file>